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puestos" sheetId="1" state="visible" r:id="rId1"/>
    <sheet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%;-0.0%;-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</font>
    <font>
      <name val="Arial"/>
      <color rgb="000000FF"/>
    </font>
    <font>
      <name val="Arial"/>
      <i val="1"/>
      <color rgb="00555555"/>
    </font>
    <font>
      <name val="Arial"/>
      <b val="1"/>
      <color rgb="00FFFFFF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0B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2" borderId="0" applyAlignment="1" pivotButton="0" quotePrefix="0" xfId="0">
      <alignment vertical="top" wrapText="1"/>
    </xf>
    <xf numFmtId="3" fontId="3" fillId="0" borderId="0" pivotButton="0" quotePrefix="0" xfId="0"/>
    <xf numFmtId="3" fontId="2" fillId="0" borderId="0" pivotButton="0" quotePrefix="0" xfId="0"/>
    <xf numFmtId="165" fontId="3" fillId="0" borderId="0" pivotButton="0" quotePrefix="0" xfId="0"/>
    <xf numFmtId="166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ZeroAI</author>
  </authors>
  <commentList>
    <comment ref="C1" authorId="0" shapeId="0">
      <text>
        <t>Propuesta del informe del 15-oct-2026; no aplicada aún en zero/config.py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</cols>
  <sheetData>
    <row r="1">
      <c r="A1" s="1" t="inlineStr">
        <is>
          <t>Supuestos (editar celdas azules)</t>
        </is>
      </c>
    </row>
    <row r="3">
      <c r="A3" s="2" t="inlineStr">
        <is>
          <t>USD → CLP</t>
        </is>
      </c>
      <c r="B3" s="3" t="n">
        <v>978.55</v>
      </c>
      <c r="C3" s="4" t="inlineStr">
        <is>
          <t>Cierre 15-oct-2026, Infobae (no es el dólar observado oficial)</t>
        </is>
      </c>
    </row>
    <row r="4">
      <c r="A4" s="2" t="inlineStr">
        <is>
          <t>UF → CLP</t>
        </is>
      </c>
      <c r="B4" s="3" t="n">
        <v>41162.73</v>
      </c>
      <c r="C4" s="4" t="inlineStr">
        <is>
          <t>15-oct-2026, uf-hoy.com</t>
        </is>
      </c>
    </row>
    <row r="5">
      <c r="A5" s="2" t="inlineStr">
        <is>
          <t>IVA</t>
        </is>
      </c>
      <c r="B5" s="5" t="n">
        <v>0.19</v>
      </c>
      <c r="C5" s="4" t="inlineStr">
        <is>
          <t>Tasa general Chile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14" customWidth="1" min="5" max="5"/>
    <col width="42" customWidth="1" min="6" max="6"/>
    <col width="14" customWidth="1" min="7" max="7"/>
    <col width="9" customWidth="1" min="8" max="8"/>
    <col width="16" customWidth="1" min="9" max="9"/>
    <col width="14" customWidth="1" min="10" max="10"/>
    <col width="38" customWidth="1" min="11" max="11"/>
    <col width="10" customWidth="1" min="12" max="12"/>
  </cols>
  <sheetData>
    <row r="1">
      <c r="A1" s="6" t="inlineStr">
        <is>
          <t>Producto</t>
        </is>
      </c>
      <c r="B1" s="6" t="inlineStr">
        <is>
          <t>Plan ZeroAI</t>
        </is>
      </c>
      <c r="C1" s="6" t="inlineStr">
        <is>
          <t>Precio ZeroAI neto (CLP/mes)</t>
        </is>
      </c>
      <c r="D1" s="6" t="inlineStr">
        <is>
          <t>Con IVA (CLP)</t>
        </is>
      </c>
      <c r="E1" s="6" t="inlineStr">
        <is>
          <t>Setup neto (CLP)</t>
        </is>
      </c>
      <c r="F1" s="6" t="inlineStr">
        <is>
          <t>Comparable más cercano</t>
        </is>
      </c>
      <c r="G1" s="6" t="inlineStr">
        <is>
          <t>Precio comparable (original)</t>
        </is>
      </c>
      <c r="H1" s="6" t="inlineStr">
        <is>
          <t>Moneda</t>
        </is>
      </c>
      <c r="I1" s="6" t="inlineStr">
        <is>
          <t>Comparable en CLP</t>
        </is>
      </c>
      <c r="J1" s="6" t="inlineStr">
        <is>
          <t>Diferencia vs comparable</t>
        </is>
      </c>
      <c r="K1" s="6" t="inlineStr">
        <is>
          <t>Fuente</t>
        </is>
      </c>
      <c r="L1" s="6" t="inlineStr">
        <is>
          <t>Confianza</t>
        </is>
      </c>
    </row>
    <row r="2">
      <c r="A2" s="2" t="inlineStr">
        <is>
          <t>Leads B2B</t>
        </is>
      </c>
      <c r="B2" s="2" t="inlineStr">
        <is>
          <t>STARTER (50 leads)</t>
        </is>
      </c>
      <c r="C2" s="7" t="n">
        <v>69000</v>
      </c>
      <c r="D2" s="8">
        <f>C2*(1+Supuestos!$B$5)</f>
        <v/>
      </c>
      <c r="E2" s="9" t="n">
        <v>0</v>
      </c>
      <c r="F2" s="2" t="inlineStr">
        <is>
          <t>AiSDR Self-serve, 50 personas (US$1,50 c/u)</t>
        </is>
      </c>
      <c r="G2" s="3" t="n">
        <v>75</v>
      </c>
      <c r="H2" s="2" t="inlineStr">
        <is>
          <t>USD</t>
        </is>
      </c>
      <c r="I2" s="8">
        <f>IF(H2="USD",G2*Supuestos!$B$3,IF(H2="UF",G2*Supuestos!$B$4,G2))</f>
        <v/>
      </c>
      <c r="J2" s="10">
        <f>IF(I2=0,"",C2/I2-1)</f>
        <v/>
      </c>
      <c r="K2" s="2" t="inlineStr">
        <is>
          <t>aisdr.com/pricing, leído 15-oct-2026</t>
        </is>
      </c>
      <c r="L2" s="2" t="inlineStr">
        <is>
          <t>Alta</t>
        </is>
      </c>
    </row>
    <row r="3">
      <c r="A3" s="2" t="inlineStr">
        <is>
          <t>Leads B2B</t>
        </is>
      </c>
      <c r="B3" s="2" t="inlineStr">
        <is>
          <t>GROWTH (200 leads)</t>
        </is>
      </c>
      <c r="C3" s="7" t="n">
        <v>229000</v>
      </c>
      <c r="D3" s="8">
        <f>C3*(1+Supuestos!$B$5)</f>
        <v/>
      </c>
      <c r="E3" s="9" t="n">
        <v>0</v>
      </c>
      <c r="F3" s="2" t="inlineStr">
        <is>
          <t>AiSDR Self-serve, 200 personas</t>
        </is>
      </c>
      <c r="G3" s="3" t="n">
        <v>300</v>
      </c>
      <c r="H3" s="2" t="inlineStr">
        <is>
          <t>USD</t>
        </is>
      </c>
      <c r="I3" s="8">
        <f>IF(H3="USD",G3*Supuestos!$B$3,IF(H3="UF",G3*Supuestos!$B$4,G3))</f>
        <v/>
      </c>
      <c r="J3" s="10">
        <f>IF(I3=0,"",C3/I3-1)</f>
        <v/>
      </c>
      <c r="K3" s="2" t="inlineStr">
        <is>
          <t>aisdr.com/pricing, leído 15-oct-2026</t>
        </is>
      </c>
      <c r="L3" s="2" t="inlineStr">
        <is>
          <t>Alta</t>
        </is>
      </c>
    </row>
    <row r="4">
      <c r="A4" s="2" t="inlineStr">
        <is>
          <t>Leads B2B</t>
        </is>
      </c>
      <c r="B4" s="2" t="inlineStr">
        <is>
          <t>SCALE (500 leads)</t>
        </is>
      </c>
      <c r="C4" s="7" t="n">
        <v>449000</v>
      </c>
      <c r="D4" s="8">
        <f>C4*(1+Supuestos!$B$5)</f>
        <v/>
      </c>
      <c r="E4" s="9" t="n">
        <v>0</v>
      </c>
      <c r="F4" s="2" t="inlineStr">
        <is>
          <t>Nexor Basic (500 leads propios, servicio completo)</t>
        </is>
      </c>
      <c r="G4" s="3" t="n">
        <v>500</v>
      </c>
      <c r="H4" s="2" t="inlineStr">
        <is>
          <t>USD</t>
        </is>
      </c>
      <c r="I4" s="8">
        <f>IF(H4="USD",G4*Supuestos!$B$3,IF(H4="UF",G4*Supuestos!$B$4,G4))</f>
        <v/>
      </c>
      <c r="J4" s="10">
        <f>IF(I4=0,"",C4/I4-1)</f>
        <v/>
      </c>
      <c r="K4" s="2" t="inlineStr">
        <is>
          <t>HubSpot Marketplace, leído 15-oct-2026</t>
        </is>
      </c>
      <c r="L4" s="2" t="inlineStr">
        <is>
          <t>Alta</t>
        </is>
      </c>
    </row>
    <row r="5">
      <c r="A5" s="2" t="inlineStr">
        <is>
          <t>Agente WhatsApp</t>
        </is>
      </c>
      <c r="B5" s="2" t="inlineStr">
        <is>
          <t>Base (1.000 conv.)</t>
        </is>
      </c>
      <c r="C5" s="7" t="n">
        <v>119000</v>
      </c>
      <c r="D5" s="8">
        <f>C5*(1+Supuestos!$B$5)</f>
        <v/>
      </c>
      <c r="E5" s="9" t="n">
        <v>250000</v>
      </c>
      <c r="F5" s="2" t="inlineStr">
        <is>
          <t>Leadsales Profesional (autoservicio)</t>
        </is>
      </c>
      <c r="G5" s="3" t="n">
        <v>133</v>
      </c>
      <c r="H5" s="2" t="inlineStr">
        <is>
          <t>USD</t>
        </is>
      </c>
      <c r="I5" s="8">
        <f>IF(H5="USD",G5*Supuestos!$B$3,IF(H5="UF",G5*Supuestos!$B$4,G5))</f>
        <v/>
      </c>
      <c r="J5" s="10">
        <f>IF(I5=0,"",C5/I5-1)</f>
        <v/>
      </c>
      <c r="K5" s="2" t="inlineStr">
        <is>
          <t>leadsales.io/precios, leído 15-oct-2026</t>
        </is>
      </c>
      <c r="L5" s="2" t="inlineStr">
        <is>
          <t>Alta</t>
        </is>
      </c>
    </row>
    <row r="6">
      <c r="A6" s="2" t="inlineStr">
        <is>
          <t>Agente WhatsApp</t>
        </is>
      </c>
      <c r="B6" s="2" t="inlineStr">
        <is>
          <t>Base (1.000 conv.)</t>
        </is>
      </c>
      <c r="C6" s="7" t="n">
        <v>119000</v>
      </c>
      <c r="D6" s="8">
        <f>C6*(1+Supuestos!$B$5)</f>
        <v/>
      </c>
      <c r="E6" s="9" t="n">
        <v>250000</v>
      </c>
      <c r="F6" s="2" t="inlineStr">
        <is>
          <t>Vozia / DuoTach (done-for-you)</t>
        </is>
      </c>
      <c r="G6" s="3" t="n">
        <v>200</v>
      </c>
      <c r="H6" s="2" t="inlineStr">
        <is>
          <t>USD</t>
        </is>
      </c>
      <c r="I6" s="8">
        <f>IF(H6="USD",G6*Supuestos!$B$3,IF(H6="UF",G6*Supuestos!$B$4,G6))</f>
        <v/>
      </c>
      <c r="J6" s="10">
        <f>IF(I6=0,"",C6/I6-1)</f>
        <v/>
      </c>
      <c r="K6" s="2" t="inlineStr">
        <is>
          <t>duotach.com/chatbots</t>
        </is>
      </c>
      <c r="L6" s="2" t="inlineStr">
        <is>
          <t>Media</t>
        </is>
      </c>
    </row>
    <row r="7">
      <c r="A7" s="2" t="inlineStr">
        <is>
          <t>Agente WhatsApp</t>
        </is>
      </c>
      <c r="B7" s="2" t="inlineStr">
        <is>
          <t>Base (1.000 conv.)</t>
        </is>
      </c>
      <c r="C7" s="7" t="n">
        <v>119000</v>
      </c>
      <c r="D7" s="8">
        <f>C7*(1+Supuestos!$B$5)</f>
        <v/>
      </c>
      <c r="E7" s="9" t="n">
        <v>250000</v>
      </c>
      <c r="F7" s="2" t="inlineStr">
        <is>
          <t>N5 Go Starter IA</t>
        </is>
      </c>
      <c r="G7" s="3" t="n">
        <v>10</v>
      </c>
      <c r="H7" s="2" t="inlineStr">
        <is>
          <t>UF</t>
        </is>
      </c>
      <c r="I7" s="8">
        <f>IF(H7="USD",G7*Supuestos!$B$3,IF(H7="UF",G7*Supuestos!$B$4,G7))</f>
        <v/>
      </c>
      <c r="J7" s="10">
        <f>IF(I7=0,"",C7/I7-1)</f>
        <v/>
      </c>
      <c r="K7" s="2" t="inlineStr">
        <is>
          <t>ia.n5go.cl, leído 15-oct-2026</t>
        </is>
      </c>
      <c r="L7" s="2" t="inlineStr">
        <is>
          <t>Alta</t>
        </is>
      </c>
    </row>
    <row r="8">
      <c r="A8" s="2" t="inlineStr">
        <is>
          <t>Automatización comercial</t>
        </is>
      </c>
      <c r="B8" s="2" t="inlineStr">
        <is>
          <t>Pack pyme</t>
        </is>
      </c>
      <c r="C8" s="7" t="n">
        <v>129000</v>
      </c>
      <c r="D8" s="8">
        <f>C8*(1+Supuestos!$B$5)</f>
        <v/>
      </c>
      <c r="E8" s="9" t="n">
        <v>390000</v>
      </c>
      <c r="F8" s="2" t="inlineStr">
        <is>
          <t>Paquete básico pyme (guía)</t>
        </is>
      </c>
      <c r="G8" s="3" t="n">
        <v>150</v>
      </c>
      <c r="H8" s="2" t="inlineStr">
        <is>
          <t>USD</t>
        </is>
      </c>
      <c r="I8" s="8">
        <f>IF(H8="USD",G8*Supuestos!$B$3,IF(H8="UF",G8*Supuestos!$B$4,G8))</f>
        <v/>
      </c>
      <c r="J8" s="10">
        <f>IF(I8=0,"",C8/I8-1)</f>
        <v/>
      </c>
      <c r="K8" s="2" t="inlineStr">
        <is>
          <t>ecosistemastartup.com, jul-2026</t>
        </is>
      </c>
      <c r="L8" s="2" t="inlineStr">
        <is>
          <t>Baja</t>
        </is>
      </c>
    </row>
    <row r="9">
      <c r="A9" s="2" t="inlineStr">
        <is>
          <t>Agentic marketing</t>
        </is>
      </c>
      <c r="B9" s="2" t="inlineStr">
        <is>
          <t>Fee de gestión</t>
        </is>
      </c>
      <c r="C9" s="7" t="n">
        <v>290000</v>
      </c>
      <c r="D9" s="8">
        <f>C9*(1+Supuestos!$B$5)</f>
        <v/>
      </c>
      <c r="E9" s="9" t="n">
        <v>0</v>
      </c>
      <c r="F9" s="2" t="inlineStr">
        <is>
          <t>Agencia C (Labdeco), plan pequeño</t>
        </is>
      </c>
      <c r="G9" s="3" t="n">
        <v>8</v>
      </c>
      <c r="H9" s="2" t="inlineStr">
        <is>
          <t>UF</t>
        </is>
      </c>
      <c r="I9" s="8">
        <f>IF(H9="USD",G9*Supuestos!$B$3,IF(H9="UF",G9*Supuestos!$B$4,G9))</f>
        <v/>
      </c>
      <c r="J9" s="10">
        <f>IF(I9=0,"",C9/I9-1)</f>
        <v/>
      </c>
      <c r="K9" s="2" t="inlineStr">
        <is>
          <t>labdeco.cl, 28-sep-2026</t>
        </is>
      </c>
      <c r="L9" s="2" t="inlineStr">
        <is>
          <t>Media</t>
        </is>
      </c>
    </row>
    <row r="11">
      <c r="A11" s="11" t="inlineStr">
        <is>
          <t>Meta WhatsApp Chile (tarifa oficial CLP, desde 1-oct-2026): marketing 78,49 · utilidad/autenticación/servicio 17,66 por mensaje. Se traspasa a costo, 0% de recargo.</t>
        </is>
      </c>
    </row>
    <row r="12">
      <c r="A12" s="11" t="inlineStr">
        <is>
          <t>Negativo en 'Diferencia' = ZeroAI más barato. Celdas azules = supuestos editables. Precios neto + IVA. Fuente completa: 'Precios competencia Chile octubre 2026.md'.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2026-10-16T02:25:10Z</dcterms:created>
  <dcterms:modified xsi:type="dcterms:W3CDTF">2026-10-16T02:25:10Z</dcterms:modified>
</cp:coreProperties>
</file>