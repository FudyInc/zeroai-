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Ventas" sheetId="2" state="visible" r:id="rId2"/>
    <sheet name="Productos" sheetId="3" state="visible" r:id="rId3"/>
    <sheet name="Resumen" sheetId="4" state="visible" r:id="rId4"/>
    <sheet name="Referencias" sheetId="5" state="visible" r:id="rId5"/>
  </sheets>
  <definedNames>
    <definedName name="_xlnm._FilterDatabase" localSheetId="1" hidden="1">'Ventas'!$A$3:$L$503</definedName>
    <definedName name="_xlnm._FilterDatabase" localSheetId="2" hidden="1">'Productos'!$A$3:$F$203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[Red]-#,##0;–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17324D"/>
      <sz val="11"/>
    </font>
    <font>
      <b val="1"/>
      <color rgb="0017324D"/>
    </font>
    <font>
      <i val="1"/>
      <color rgb="0064748B"/>
    </font>
    <font>
      <i val="1"/>
      <color rgb="0064748B"/>
      <sz val="10"/>
    </font>
    <font>
      <name val="Apto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8E7"/>
      </patternFill>
    </fill>
    <fill>
      <patternFill patternType="solid">
        <fgColor rgb="00087E8B"/>
      </patternFill>
    </fill>
    <fill>
      <patternFill patternType="solid">
        <fgColor rgb="00EEF3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4" borderId="0" applyAlignment="1" pivotButton="0" quotePrefix="0" xfId="0">
      <alignment vertical="center" wrapText="1"/>
    </xf>
    <xf numFmtId="164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165" fontId="0" fillId="5" borderId="0" pivotButton="0" quotePrefix="0" xfId="0"/>
    <xf numFmtId="9" fontId="0" fillId="3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5" fontId="0" fillId="5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E2F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4" customHeight="1">
      <c r="A1" s="1" t="inlineStr">
        <is>
          <t>Losetas Chile · ventas y comisión</t>
        </is>
      </c>
    </row>
    <row r="3" ht="40" customHeight="1">
      <c r="A3" s="3" t="inlineStr">
        <is>
          <t>1. Registra una venta por fila en la hoja Ventas.</t>
        </is>
      </c>
      <c r="B3" s="4" t="inlineStr">
        <is>
          <t>El monto de productos debe ser el valor final cobrado por productos, después de descuentos y sin envío.</t>
        </is>
      </c>
    </row>
    <row r="4" ht="40" customHeight="1">
      <c r="A4" s="3" t="inlineStr">
        <is>
          <t>2. Anota el envío aparte.</t>
        </is>
      </c>
      <c r="B4" s="4" t="inlineStr">
        <is>
          <t>El total del cliente suma productos + envío; la comisión usa únicamente el monto de productos.</t>
        </is>
      </c>
    </row>
    <row r="5" ht="40" customHeight="1">
      <c r="A5" s="3" t="inlineStr">
        <is>
          <t>3. Marca el estado Vendida.</t>
        </is>
      </c>
      <c r="B5" s="4" t="inlineStr">
        <is>
          <t>La comisión se calcula solo para ventas marcadas Vendida. Pendiente, Cancelada y Devuelta no generan comisión.</t>
        </is>
      </c>
    </row>
    <row r="6" ht="40" customHeight="1">
      <c r="A6" s="3" t="inlineStr">
        <is>
          <t>4. Registra lo que ya te pagaron.</t>
        </is>
      </c>
      <c r="B6" s="4" t="inlineStr">
        <is>
          <t>La columna Comisión pagada descuenta abonos de tu saldo pendiente.</t>
        </is>
      </c>
    </row>
    <row r="7" ht="40" customHeight="1">
      <c r="A7" s="3" t="inlineStr">
        <is>
          <t>5. Completa Productos cuando tengas la lista.</t>
        </is>
      </c>
      <c r="B7" s="4" t="inlineStr">
        <is>
          <t>Esta hoja sirve para ordenar el catálogo y después cargar los precios correctos al dashboard de ZERO.</t>
        </is>
      </c>
    </row>
    <row r="8" ht="40" customHeight="1">
      <c r="A8" s="3" t="inlineStr">
        <is>
          <t>6. Ajusta el porcentaje si alguna vez cambia.</t>
        </is>
      </c>
      <c r="B8" s="4" t="inlineStr">
        <is>
          <t>La tasa está en Resumen!B3 y comienza en 10%.</t>
        </is>
      </c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24" customWidth="1" min="3" max="3"/>
    <col width="38" customWidth="1" min="4" max="4"/>
    <col width="20" customWidth="1" min="5" max="5"/>
    <col width="17" customWidth="1" min="6" max="6"/>
    <col width="19" customWidth="1" min="7" max="7"/>
    <col width="16" customWidth="1" min="8" max="8"/>
    <col width="19" customWidth="1" min="9" max="9"/>
    <col width="20" customWidth="1" min="10" max="10"/>
    <col width="19" customWidth="1" min="11" max="11"/>
    <col width="36" customWidth="1" min="12" max="12"/>
  </cols>
  <sheetData>
    <row r="1" ht="34" customHeight="1">
      <c r="A1" s="1" t="inlineStr">
        <is>
          <t>Registro de ventas · Losetas Chile</t>
        </is>
      </c>
    </row>
    <row r="2">
      <c r="A2" s="5" t="inlineStr">
        <is>
          <t>Celdas amarillas: ingresar datos. Celdas grises: cálculo automático. Una fila por venta.</t>
        </is>
      </c>
    </row>
    <row r="3" ht="32" customHeight="1">
      <c r="A3" s="6" t="inlineStr">
        <is>
          <t>Fecha</t>
        </is>
      </c>
      <c r="B3" s="6" t="inlineStr">
        <is>
          <t>Pedido / folio</t>
        </is>
      </c>
      <c r="C3" s="6" t="inlineStr">
        <is>
          <t>Cliente</t>
        </is>
      </c>
      <c r="D3" s="6" t="inlineStr">
        <is>
          <t>Producto(s) / detalle</t>
        </is>
      </c>
      <c r="E3" s="6" t="inlineStr">
        <is>
          <t>Productos cobrados</t>
        </is>
      </c>
      <c r="F3" s="6" t="inlineStr">
        <is>
          <t>Envío cobrado</t>
        </is>
      </c>
      <c r="G3" s="6" t="inlineStr">
        <is>
          <t>Total cliente</t>
        </is>
      </c>
      <c r="H3" s="6" t="inlineStr">
        <is>
          <t>Estado</t>
        </is>
      </c>
      <c r="I3" s="6" t="inlineStr">
        <is>
          <t>Comisión 10%</t>
        </is>
      </c>
      <c r="J3" s="6" t="inlineStr">
        <is>
          <t>Comisión pagada</t>
        </is>
      </c>
      <c r="K3" s="6" t="inlineStr">
        <is>
          <t>Saldo pendiente</t>
        </is>
      </c>
      <c r="L3" s="6" t="inlineStr">
        <is>
          <t>Observaciones</t>
        </is>
      </c>
    </row>
    <row r="4">
      <c r="A4" s="15" t="n"/>
      <c r="B4" s="8" t="n"/>
      <c r="C4" s="8" t="n"/>
      <c r="D4" s="8" t="n"/>
      <c r="E4" s="16" t="n"/>
      <c r="F4" s="16" t="n"/>
      <c r="G4" s="17">
        <f>IF(E4="","",E4+IF(F4="",0,F4))</f>
        <v/>
      </c>
      <c r="H4" s="8" t="n"/>
      <c r="I4" s="17">
        <f>IF(E4="","",IF(H4="Vendida",E4*Resumen!$B$3,0))</f>
        <v/>
      </c>
      <c r="J4" s="16" t="n"/>
      <c r="K4" s="17">
        <f>IF(I4="","",MAX(0,I4-IF(J4="",0,J4)))</f>
        <v/>
      </c>
      <c r="L4" s="8" t="n"/>
    </row>
    <row r="5">
      <c r="A5" s="15" t="n"/>
      <c r="B5" s="8" t="n"/>
      <c r="C5" s="8" t="n"/>
      <c r="D5" s="8" t="n"/>
      <c r="E5" s="16" t="n"/>
      <c r="F5" s="16" t="n"/>
      <c r="G5" s="17">
        <f>IF(E5="","",E5+IF(F5="",0,F5))</f>
        <v/>
      </c>
      <c r="H5" s="8" t="n"/>
      <c r="I5" s="17">
        <f>IF(E5="","",IF(H5="Vendida",E5*Resumen!$B$3,0))</f>
        <v/>
      </c>
      <c r="J5" s="16" t="n"/>
      <c r="K5" s="17">
        <f>IF(I5="","",MAX(0,I5-IF(J5="",0,J5)))</f>
        <v/>
      </c>
      <c r="L5" s="8" t="n"/>
    </row>
    <row r="6">
      <c r="A6" s="15" t="n"/>
      <c r="B6" s="8" t="n"/>
      <c r="C6" s="8" t="n"/>
      <c r="D6" s="8" t="n"/>
      <c r="E6" s="16" t="n"/>
      <c r="F6" s="16" t="n"/>
      <c r="G6" s="17">
        <f>IF(E6="","",E6+IF(F6="",0,F6))</f>
        <v/>
      </c>
      <c r="H6" s="8" t="n"/>
      <c r="I6" s="17">
        <f>IF(E6="","",IF(H6="Vendida",E6*Resumen!$B$3,0))</f>
        <v/>
      </c>
      <c r="J6" s="16" t="n"/>
      <c r="K6" s="17">
        <f>IF(I6="","",MAX(0,I6-IF(J6="",0,J6)))</f>
        <v/>
      </c>
      <c r="L6" s="8" t="n"/>
    </row>
    <row r="7">
      <c r="A7" s="15" t="n"/>
      <c r="B7" s="8" t="n"/>
      <c r="C7" s="8" t="n"/>
      <c r="D7" s="8" t="n"/>
      <c r="E7" s="16" t="n"/>
      <c r="F7" s="16" t="n"/>
      <c r="G7" s="17">
        <f>IF(E7="","",E7+IF(F7="",0,F7))</f>
        <v/>
      </c>
      <c r="H7" s="8" t="n"/>
      <c r="I7" s="17">
        <f>IF(E7="","",IF(H7="Vendida",E7*Resumen!$B$3,0))</f>
        <v/>
      </c>
      <c r="J7" s="16" t="n"/>
      <c r="K7" s="17">
        <f>IF(I7="","",MAX(0,I7-IF(J7="",0,J7)))</f>
        <v/>
      </c>
      <c r="L7" s="8" t="n"/>
    </row>
    <row r="8">
      <c r="A8" s="15" t="n"/>
      <c r="B8" s="8" t="n"/>
      <c r="C8" s="8" t="n"/>
      <c r="D8" s="8" t="n"/>
      <c r="E8" s="16" t="n"/>
      <c r="F8" s="16" t="n"/>
      <c r="G8" s="17">
        <f>IF(E8="","",E8+IF(F8="",0,F8))</f>
        <v/>
      </c>
      <c r="H8" s="8" t="n"/>
      <c r="I8" s="17">
        <f>IF(E8="","",IF(H8="Vendida",E8*Resumen!$B$3,0))</f>
        <v/>
      </c>
      <c r="J8" s="16" t="n"/>
      <c r="K8" s="17">
        <f>IF(I8="","",MAX(0,I8-IF(J8="",0,J8)))</f>
        <v/>
      </c>
      <c r="L8" s="8" t="n"/>
    </row>
    <row r="9">
      <c r="A9" s="15" t="n"/>
      <c r="B9" s="8" t="n"/>
      <c r="C9" s="8" t="n"/>
      <c r="D9" s="8" t="n"/>
      <c r="E9" s="16" t="n"/>
      <c r="F9" s="16" t="n"/>
      <c r="G9" s="17">
        <f>IF(E9="","",E9+IF(F9="",0,F9))</f>
        <v/>
      </c>
      <c r="H9" s="8" t="n"/>
      <c r="I9" s="17">
        <f>IF(E9="","",IF(H9="Vendida",E9*Resumen!$B$3,0))</f>
        <v/>
      </c>
      <c r="J9" s="16" t="n"/>
      <c r="K9" s="17">
        <f>IF(I9="","",MAX(0,I9-IF(J9="",0,J9)))</f>
        <v/>
      </c>
      <c r="L9" s="8" t="n"/>
    </row>
    <row r="10">
      <c r="A10" s="15" t="n"/>
      <c r="B10" s="8" t="n"/>
      <c r="C10" s="8" t="n"/>
      <c r="D10" s="8" t="n"/>
      <c r="E10" s="16" t="n"/>
      <c r="F10" s="16" t="n"/>
      <c r="G10" s="17">
        <f>IF(E10="","",E10+IF(F10="",0,F10))</f>
        <v/>
      </c>
      <c r="H10" s="8" t="n"/>
      <c r="I10" s="17">
        <f>IF(E10="","",IF(H10="Vendida",E10*Resumen!$B$3,0))</f>
        <v/>
      </c>
      <c r="J10" s="16" t="n"/>
      <c r="K10" s="17">
        <f>IF(I10="","",MAX(0,I10-IF(J10="",0,J10)))</f>
        <v/>
      </c>
      <c r="L10" s="8" t="n"/>
    </row>
    <row r="11">
      <c r="A11" s="15" t="n"/>
      <c r="B11" s="8" t="n"/>
      <c r="C11" s="8" t="n"/>
      <c r="D11" s="8" t="n"/>
      <c r="E11" s="16" t="n"/>
      <c r="F11" s="16" t="n"/>
      <c r="G11" s="17">
        <f>IF(E11="","",E11+IF(F11="",0,F11))</f>
        <v/>
      </c>
      <c r="H11" s="8" t="n"/>
      <c r="I11" s="17">
        <f>IF(E11="","",IF(H11="Vendida",E11*Resumen!$B$3,0))</f>
        <v/>
      </c>
      <c r="J11" s="16" t="n"/>
      <c r="K11" s="17">
        <f>IF(I11="","",MAX(0,I11-IF(J11="",0,J11)))</f>
        <v/>
      </c>
      <c r="L11" s="8" t="n"/>
    </row>
    <row r="12">
      <c r="A12" s="15" t="n"/>
      <c r="B12" s="8" t="n"/>
      <c r="C12" s="8" t="n"/>
      <c r="D12" s="8" t="n"/>
      <c r="E12" s="16" t="n"/>
      <c r="F12" s="16" t="n"/>
      <c r="G12" s="17">
        <f>IF(E12="","",E12+IF(F12="",0,F12))</f>
        <v/>
      </c>
      <c r="H12" s="8" t="n"/>
      <c r="I12" s="17">
        <f>IF(E12="","",IF(H12="Vendida",E12*Resumen!$B$3,0))</f>
        <v/>
      </c>
      <c r="J12" s="16" t="n"/>
      <c r="K12" s="17">
        <f>IF(I12="","",MAX(0,I12-IF(J12="",0,J12)))</f>
        <v/>
      </c>
      <c r="L12" s="8" t="n"/>
    </row>
    <row r="13">
      <c r="A13" s="15" t="n"/>
      <c r="B13" s="8" t="n"/>
      <c r="C13" s="8" t="n"/>
      <c r="D13" s="8" t="n"/>
      <c r="E13" s="16" t="n"/>
      <c r="F13" s="16" t="n"/>
      <c r="G13" s="17">
        <f>IF(E13="","",E13+IF(F13="",0,F13))</f>
        <v/>
      </c>
      <c r="H13" s="8" t="n"/>
      <c r="I13" s="17">
        <f>IF(E13="","",IF(H13="Vendida",E13*Resumen!$B$3,0))</f>
        <v/>
      </c>
      <c r="J13" s="16" t="n"/>
      <c r="K13" s="17">
        <f>IF(I13="","",MAX(0,I13-IF(J13="",0,J13)))</f>
        <v/>
      </c>
      <c r="L13" s="8" t="n"/>
    </row>
    <row r="14">
      <c r="A14" s="15" t="n"/>
      <c r="B14" s="8" t="n"/>
      <c r="C14" s="8" t="n"/>
      <c r="D14" s="8" t="n"/>
      <c r="E14" s="16" t="n"/>
      <c r="F14" s="16" t="n"/>
      <c r="G14" s="17">
        <f>IF(E14="","",E14+IF(F14="",0,F14))</f>
        <v/>
      </c>
      <c r="H14" s="8" t="n"/>
      <c r="I14" s="17">
        <f>IF(E14="","",IF(H14="Vendida",E14*Resumen!$B$3,0))</f>
        <v/>
      </c>
      <c r="J14" s="16" t="n"/>
      <c r="K14" s="17">
        <f>IF(I14="","",MAX(0,I14-IF(J14="",0,J14)))</f>
        <v/>
      </c>
      <c r="L14" s="8" t="n"/>
    </row>
    <row r="15">
      <c r="A15" s="15" t="n"/>
      <c r="B15" s="8" t="n"/>
      <c r="C15" s="8" t="n"/>
      <c r="D15" s="8" t="n"/>
      <c r="E15" s="16" t="n"/>
      <c r="F15" s="16" t="n"/>
      <c r="G15" s="17">
        <f>IF(E15="","",E15+IF(F15="",0,F15))</f>
        <v/>
      </c>
      <c r="H15" s="8" t="n"/>
      <c r="I15" s="17">
        <f>IF(E15="","",IF(H15="Vendida",E15*Resumen!$B$3,0))</f>
        <v/>
      </c>
      <c r="J15" s="16" t="n"/>
      <c r="K15" s="17">
        <f>IF(I15="","",MAX(0,I15-IF(J15="",0,J15)))</f>
        <v/>
      </c>
      <c r="L15" s="8" t="n"/>
    </row>
    <row r="16">
      <c r="A16" s="15" t="n"/>
      <c r="B16" s="8" t="n"/>
      <c r="C16" s="8" t="n"/>
      <c r="D16" s="8" t="n"/>
      <c r="E16" s="16" t="n"/>
      <c r="F16" s="16" t="n"/>
      <c r="G16" s="17">
        <f>IF(E16="","",E16+IF(F16="",0,F16))</f>
        <v/>
      </c>
      <c r="H16" s="8" t="n"/>
      <c r="I16" s="17">
        <f>IF(E16="","",IF(H16="Vendida",E16*Resumen!$B$3,0))</f>
        <v/>
      </c>
      <c r="J16" s="16" t="n"/>
      <c r="K16" s="17">
        <f>IF(I16="","",MAX(0,I16-IF(J16="",0,J16)))</f>
        <v/>
      </c>
      <c r="L16" s="8" t="n"/>
    </row>
    <row r="17">
      <c r="A17" s="15" t="n"/>
      <c r="B17" s="8" t="n"/>
      <c r="C17" s="8" t="n"/>
      <c r="D17" s="8" t="n"/>
      <c r="E17" s="16" t="n"/>
      <c r="F17" s="16" t="n"/>
      <c r="G17" s="17">
        <f>IF(E17="","",E17+IF(F17="",0,F17))</f>
        <v/>
      </c>
      <c r="H17" s="8" t="n"/>
      <c r="I17" s="17">
        <f>IF(E17="","",IF(H17="Vendida",E17*Resumen!$B$3,0))</f>
        <v/>
      </c>
      <c r="J17" s="16" t="n"/>
      <c r="K17" s="17">
        <f>IF(I17="","",MAX(0,I17-IF(J17="",0,J17)))</f>
        <v/>
      </c>
      <c r="L17" s="8" t="n"/>
    </row>
    <row r="18">
      <c r="A18" s="15" t="n"/>
      <c r="B18" s="8" t="n"/>
      <c r="C18" s="8" t="n"/>
      <c r="D18" s="8" t="n"/>
      <c r="E18" s="16" t="n"/>
      <c r="F18" s="16" t="n"/>
      <c r="G18" s="17">
        <f>IF(E18="","",E18+IF(F18="",0,F18))</f>
        <v/>
      </c>
      <c r="H18" s="8" t="n"/>
      <c r="I18" s="17">
        <f>IF(E18="","",IF(H18="Vendida",E18*Resumen!$B$3,0))</f>
        <v/>
      </c>
      <c r="J18" s="16" t="n"/>
      <c r="K18" s="17">
        <f>IF(I18="","",MAX(0,I18-IF(J18="",0,J18)))</f>
        <v/>
      </c>
      <c r="L18" s="8" t="n"/>
    </row>
    <row r="19">
      <c r="A19" s="15" t="n"/>
      <c r="B19" s="8" t="n"/>
      <c r="C19" s="8" t="n"/>
      <c r="D19" s="8" t="n"/>
      <c r="E19" s="16" t="n"/>
      <c r="F19" s="16" t="n"/>
      <c r="G19" s="17">
        <f>IF(E19="","",E19+IF(F19="",0,F19))</f>
        <v/>
      </c>
      <c r="H19" s="8" t="n"/>
      <c r="I19" s="17">
        <f>IF(E19="","",IF(H19="Vendida",E19*Resumen!$B$3,0))</f>
        <v/>
      </c>
      <c r="J19" s="16" t="n"/>
      <c r="K19" s="17">
        <f>IF(I19="","",MAX(0,I19-IF(J19="",0,J19)))</f>
        <v/>
      </c>
      <c r="L19" s="8" t="n"/>
    </row>
    <row r="20">
      <c r="A20" s="15" t="n"/>
      <c r="B20" s="8" t="n"/>
      <c r="C20" s="8" t="n"/>
      <c r="D20" s="8" t="n"/>
      <c r="E20" s="16" t="n"/>
      <c r="F20" s="16" t="n"/>
      <c r="G20" s="17">
        <f>IF(E20="","",E20+IF(F20="",0,F20))</f>
        <v/>
      </c>
      <c r="H20" s="8" t="n"/>
      <c r="I20" s="17">
        <f>IF(E20="","",IF(H20="Vendida",E20*Resumen!$B$3,0))</f>
        <v/>
      </c>
      <c r="J20" s="16" t="n"/>
      <c r="K20" s="17">
        <f>IF(I20="","",MAX(0,I20-IF(J20="",0,J20)))</f>
        <v/>
      </c>
      <c r="L20" s="8" t="n"/>
    </row>
    <row r="21">
      <c r="A21" s="15" t="n"/>
      <c r="B21" s="8" t="n"/>
      <c r="C21" s="8" t="n"/>
      <c r="D21" s="8" t="n"/>
      <c r="E21" s="16" t="n"/>
      <c r="F21" s="16" t="n"/>
      <c r="G21" s="17">
        <f>IF(E21="","",E21+IF(F21="",0,F21))</f>
        <v/>
      </c>
      <c r="H21" s="8" t="n"/>
      <c r="I21" s="17">
        <f>IF(E21="","",IF(H21="Vendida",E21*Resumen!$B$3,0))</f>
        <v/>
      </c>
      <c r="J21" s="16" t="n"/>
      <c r="K21" s="17">
        <f>IF(I21="","",MAX(0,I21-IF(J21="",0,J21)))</f>
        <v/>
      </c>
      <c r="L21" s="8" t="n"/>
    </row>
    <row r="22">
      <c r="A22" s="15" t="n"/>
      <c r="B22" s="8" t="n"/>
      <c r="C22" s="8" t="n"/>
      <c r="D22" s="8" t="n"/>
      <c r="E22" s="16" t="n"/>
      <c r="F22" s="16" t="n"/>
      <c r="G22" s="17">
        <f>IF(E22="","",E22+IF(F22="",0,F22))</f>
        <v/>
      </c>
      <c r="H22" s="8" t="n"/>
      <c r="I22" s="17">
        <f>IF(E22="","",IF(H22="Vendida",E22*Resumen!$B$3,0))</f>
        <v/>
      </c>
      <c r="J22" s="16" t="n"/>
      <c r="K22" s="17">
        <f>IF(I22="","",MAX(0,I22-IF(J22="",0,J22)))</f>
        <v/>
      </c>
      <c r="L22" s="8" t="n"/>
    </row>
    <row r="23">
      <c r="A23" s="15" t="n"/>
      <c r="B23" s="8" t="n"/>
      <c r="C23" s="8" t="n"/>
      <c r="D23" s="8" t="n"/>
      <c r="E23" s="16" t="n"/>
      <c r="F23" s="16" t="n"/>
      <c r="G23" s="17">
        <f>IF(E23="","",E23+IF(F23="",0,F23))</f>
        <v/>
      </c>
      <c r="H23" s="8" t="n"/>
      <c r="I23" s="17">
        <f>IF(E23="","",IF(H23="Vendida",E23*Resumen!$B$3,0))</f>
        <v/>
      </c>
      <c r="J23" s="16" t="n"/>
      <c r="K23" s="17">
        <f>IF(I23="","",MAX(0,I23-IF(J23="",0,J23)))</f>
        <v/>
      </c>
      <c r="L23" s="8" t="n"/>
    </row>
    <row r="24">
      <c r="A24" s="15" t="n"/>
      <c r="B24" s="8" t="n"/>
      <c r="C24" s="8" t="n"/>
      <c r="D24" s="8" t="n"/>
      <c r="E24" s="16" t="n"/>
      <c r="F24" s="16" t="n"/>
      <c r="G24" s="17">
        <f>IF(E24="","",E24+IF(F24="",0,F24))</f>
        <v/>
      </c>
      <c r="H24" s="8" t="n"/>
      <c r="I24" s="17">
        <f>IF(E24="","",IF(H24="Vendida",E24*Resumen!$B$3,0))</f>
        <v/>
      </c>
      <c r="J24" s="16" t="n"/>
      <c r="K24" s="17">
        <f>IF(I24="","",MAX(0,I24-IF(J24="",0,J24)))</f>
        <v/>
      </c>
      <c r="L24" s="8" t="n"/>
    </row>
    <row r="25">
      <c r="A25" s="15" t="n"/>
      <c r="B25" s="8" t="n"/>
      <c r="C25" s="8" t="n"/>
      <c r="D25" s="8" t="n"/>
      <c r="E25" s="16" t="n"/>
      <c r="F25" s="16" t="n"/>
      <c r="G25" s="17">
        <f>IF(E25="","",E25+IF(F25="",0,F25))</f>
        <v/>
      </c>
      <c r="H25" s="8" t="n"/>
      <c r="I25" s="17">
        <f>IF(E25="","",IF(H25="Vendida",E25*Resumen!$B$3,0))</f>
        <v/>
      </c>
      <c r="J25" s="16" t="n"/>
      <c r="K25" s="17">
        <f>IF(I25="","",MAX(0,I25-IF(J25="",0,J25)))</f>
        <v/>
      </c>
      <c r="L25" s="8" t="n"/>
    </row>
    <row r="26">
      <c r="A26" s="15" t="n"/>
      <c r="B26" s="8" t="n"/>
      <c r="C26" s="8" t="n"/>
      <c r="D26" s="8" t="n"/>
      <c r="E26" s="16" t="n"/>
      <c r="F26" s="16" t="n"/>
      <c r="G26" s="17">
        <f>IF(E26="","",E26+IF(F26="",0,F26))</f>
        <v/>
      </c>
      <c r="H26" s="8" t="n"/>
      <c r="I26" s="17">
        <f>IF(E26="","",IF(H26="Vendida",E26*Resumen!$B$3,0))</f>
        <v/>
      </c>
      <c r="J26" s="16" t="n"/>
      <c r="K26" s="17">
        <f>IF(I26="","",MAX(0,I26-IF(J26="",0,J26)))</f>
        <v/>
      </c>
      <c r="L26" s="8" t="n"/>
    </row>
    <row r="27">
      <c r="A27" s="15" t="n"/>
      <c r="B27" s="8" t="n"/>
      <c r="C27" s="8" t="n"/>
      <c r="D27" s="8" t="n"/>
      <c r="E27" s="16" t="n"/>
      <c r="F27" s="16" t="n"/>
      <c r="G27" s="17">
        <f>IF(E27="","",E27+IF(F27="",0,F27))</f>
        <v/>
      </c>
      <c r="H27" s="8" t="n"/>
      <c r="I27" s="17">
        <f>IF(E27="","",IF(H27="Vendida",E27*Resumen!$B$3,0))</f>
        <v/>
      </c>
      <c r="J27" s="16" t="n"/>
      <c r="K27" s="17">
        <f>IF(I27="","",MAX(0,I27-IF(J27="",0,J27)))</f>
        <v/>
      </c>
      <c r="L27" s="8" t="n"/>
    </row>
    <row r="28">
      <c r="A28" s="15" t="n"/>
      <c r="B28" s="8" t="n"/>
      <c r="C28" s="8" t="n"/>
      <c r="D28" s="8" t="n"/>
      <c r="E28" s="16" t="n"/>
      <c r="F28" s="16" t="n"/>
      <c r="G28" s="17">
        <f>IF(E28="","",E28+IF(F28="",0,F28))</f>
        <v/>
      </c>
      <c r="H28" s="8" t="n"/>
      <c r="I28" s="17">
        <f>IF(E28="","",IF(H28="Vendida",E28*Resumen!$B$3,0))</f>
        <v/>
      </c>
      <c r="J28" s="16" t="n"/>
      <c r="K28" s="17">
        <f>IF(I28="","",MAX(0,I28-IF(J28="",0,J28)))</f>
        <v/>
      </c>
      <c r="L28" s="8" t="n"/>
    </row>
    <row r="29">
      <c r="A29" s="15" t="n"/>
      <c r="B29" s="8" t="n"/>
      <c r="C29" s="8" t="n"/>
      <c r="D29" s="8" t="n"/>
      <c r="E29" s="16" t="n"/>
      <c r="F29" s="16" t="n"/>
      <c r="G29" s="17">
        <f>IF(E29="","",E29+IF(F29="",0,F29))</f>
        <v/>
      </c>
      <c r="H29" s="8" t="n"/>
      <c r="I29" s="17">
        <f>IF(E29="","",IF(H29="Vendida",E29*Resumen!$B$3,0))</f>
        <v/>
      </c>
      <c r="J29" s="16" t="n"/>
      <c r="K29" s="17">
        <f>IF(I29="","",MAX(0,I29-IF(J29="",0,J29)))</f>
        <v/>
      </c>
      <c r="L29" s="8" t="n"/>
    </row>
    <row r="30">
      <c r="A30" s="15" t="n"/>
      <c r="B30" s="8" t="n"/>
      <c r="C30" s="8" t="n"/>
      <c r="D30" s="8" t="n"/>
      <c r="E30" s="16" t="n"/>
      <c r="F30" s="16" t="n"/>
      <c r="G30" s="17">
        <f>IF(E30="","",E30+IF(F30="",0,F30))</f>
        <v/>
      </c>
      <c r="H30" s="8" t="n"/>
      <c r="I30" s="17">
        <f>IF(E30="","",IF(H30="Vendida",E30*Resumen!$B$3,0))</f>
        <v/>
      </c>
      <c r="J30" s="16" t="n"/>
      <c r="K30" s="17">
        <f>IF(I30="","",MAX(0,I30-IF(J30="",0,J30)))</f>
        <v/>
      </c>
      <c r="L30" s="8" t="n"/>
    </row>
    <row r="31">
      <c r="A31" s="15" t="n"/>
      <c r="B31" s="8" t="n"/>
      <c r="C31" s="8" t="n"/>
      <c r="D31" s="8" t="n"/>
      <c r="E31" s="16" t="n"/>
      <c r="F31" s="16" t="n"/>
      <c r="G31" s="17">
        <f>IF(E31="","",E31+IF(F31="",0,F31))</f>
        <v/>
      </c>
      <c r="H31" s="8" t="n"/>
      <c r="I31" s="17">
        <f>IF(E31="","",IF(H31="Vendida",E31*Resumen!$B$3,0))</f>
        <v/>
      </c>
      <c r="J31" s="16" t="n"/>
      <c r="K31" s="17">
        <f>IF(I31="","",MAX(0,I31-IF(J31="",0,J31)))</f>
        <v/>
      </c>
      <c r="L31" s="8" t="n"/>
    </row>
    <row r="32">
      <c r="A32" s="15" t="n"/>
      <c r="B32" s="8" t="n"/>
      <c r="C32" s="8" t="n"/>
      <c r="D32" s="8" t="n"/>
      <c r="E32" s="16" t="n"/>
      <c r="F32" s="16" t="n"/>
      <c r="G32" s="17">
        <f>IF(E32="","",E32+IF(F32="",0,F32))</f>
        <v/>
      </c>
      <c r="H32" s="8" t="n"/>
      <c r="I32" s="17">
        <f>IF(E32="","",IF(H32="Vendida",E32*Resumen!$B$3,0))</f>
        <v/>
      </c>
      <c r="J32" s="16" t="n"/>
      <c r="K32" s="17">
        <f>IF(I32="","",MAX(0,I32-IF(J32="",0,J32)))</f>
        <v/>
      </c>
      <c r="L32" s="8" t="n"/>
    </row>
    <row r="33">
      <c r="A33" s="15" t="n"/>
      <c r="B33" s="8" t="n"/>
      <c r="C33" s="8" t="n"/>
      <c r="D33" s="8" t="n"/>
      <c r="E33" s="16" t="n"/>
      <c r="F33" s="16" t="n"/>
      <c r="G33" s="17">
        <f>IF(E33="","",E33+IF(F33="",0,F33))</f>
        <v/>
      </c>
      <c r="H33" s="8" t="n"/>
      <c r="I33" s="17">
        <f>IF(E33="","",IF(H33="Vendida",E33*Resumen!$B$3,0))</f>
        <v/>
      </c>
      <c r="J33" s="16" t="n"/>
      <c r="K33" s="17">
        <f>IF(I33="","",MAX(0,I33-IF(J33="",0,J33)))</f>
        <v/>
      </c>
      <c r="L33" s="8" t="n"/>
    </row>
    <row r="34">
      <c r="A34" s="15" t="n"/>
      <c r="B34" s="8" t="n"/>
      <c r="C34" s="8" t="n"/>
      <c r="D34" s="8" t="n"/>
      <c r="E34" s="16" t="n"/>
      <c r="F34" s="16" t="n"/>
      <c r="G34" s="17">
        <f>IF(E34="","",E34+IF(F34="",0,F34))</f>
        <v/>
      </c>
      <c r="H34" s="8" t="n"/>
      <c r="I34" s="17">
        <f>IF(E34="","",IF(H34="Vendida",E34*Resumen!$B$3,0))</f>
        <v/>
      </c>
      <c r="J34" s="16" t="n"/>
      <c r="K34" s="17">
        <f>IF(I34="","",MAX(0,I34-IF(J34="",0,J34)))</f>
        <v/>
      </c>
      <c r="L34" s="8" t="n"/>
    </row>
    <row r="35">
      <c r="A35" s="15" t="n"/>
      <c r="B35" s="8" t="n"/>
      <c r="C35" s="8" t="n"/>
      <c r="D35" s="8" t="n"/>
      <c r="E35" s="16" t="n"/>
      <c r="F35" s="16" t="n"/>
      <c r="G35" s="17">
        <f>IF(E35="","",E35+IF(F35="",0,F35))</f>
        <v/>
      </c>
      <c r="H35" s="8" t="n"/>
      <c r="I35" s="17">
        <f>IF(E35="","",IF(H35="Vendida",E35*Resumen!$B$3,0))</f>
        <v/>
      </c>
      <c r="J35" s="16" t="n"/>
      <c r="K35" s="17">
        <f>IF(I35="","",MAX(0,I35-IF(J35="",0,J35)))</f>
        <v/>
      </c>
      <c r="L35" s="8" t="n"/>
    </row>
    <row r="36">
      <c r="A36" s="15" t="n"/>
      <c r="B36" s="8" t="n"/>
      <c r="C36" s="8" t="n"/>
      <c r="D36" s="8" t="n"/>
      <c r="E36" s="16" t="n"/>
      <c r="F36" s="16" t="n"/>
      <c r="G36" s="17">
        <f>IF(E36="","",E36+IF(F36="",0,F36))</f>
        <v/>
      </c>
      <c r="H36" s="8" t="n"/>
      <c r="I36" s="17">
        <f>IF(E36="","",IF(H36="Vendida",E36*Resumen!$B$3,0))</f>
        <v/>
      </c>
      <c r="J36" s="16" t="n"/>
      <c r="K36" s="17">
        <f>IF(I36="","",MAX(0,I36-IF(J36="",0,J36)))</f>
        <v/>
      </c>
      <c r="L36" s="8" t="n"/>
    </row>
    <row r="37">
      <c r="A37" s="15" t="n"/>
      <c r="B37" s="8" t="n"/>
      <c r="C37" s="8" t="n"/>
      <c r="D37" s="8" t="n"/>
      <c r="E37" s="16" t="n"/>
      <c r="F37" s="16" t="n"/>
      <c r="G37" s="17">
        <f>IF(E37="","",E37+IF(F37="",0,F37))</f>
        <v/>
      </c>
      <c r="H37" s="8" t="n"/>
      <c r="I37" s="17">
        <f>IF(E37="","",IF(H37="Vendida",E37*Resumen!$B$3,0))</f>
        <v/>
      </c>
      <c r="J37" s="16" t="n"/>
      <c r="K37" s="17">
        <f>IF(I37="","",MAX(0,I37-IF(J37="",0,J37)))</f>
        <v/>
      </c>
      <c r="L37" s="8" t="n"/>
    </row>
    <row r="38">
      <c r="A38" s="15" t="n"/>
      <c r="B38" s="8" t="n"/>
      <c r="C38" s="8" t="n"/>
      <c r="D38" s="8" t="n"/>
      <c r="E38" s="16" t="n"/>
      <c r="F38" s="16" t="n"/>
      <c r="G38" s="17">
        <f>IF(E38="","",E38+IF(F38="",0,F38))</f>
        <v/>
      </c>
      <c r="H38" s="8" t="n"/>
      <c r="I38" s="17">
        <f>IF(E38="","",IF(H38="Vendida",E38*Resumen!$B$3,0))</f>
        <v/>
      </c>
      <c r="J38" s="16" t="n"/>
      <c r="K38" s="17">
        <f>IF(I38="","",MAX(0,I38-IF(J38="",0,J38)))</f>
        <v/>
      </c>
      <c r="L38" s="8" t="n"/>
    </row>
    <row r="39">
      <c r="A39" s="15" t="n"/>
      <c r="B39" s="8" t="n"/>
      <c r="C39" s="8" t="n"/>
      <c r="D39" s="8" t="n"/>
      <c r="E39" s="16" t="n"/>
      <c r="F39" s="16" t="n"/>
      <c r="G39" s="17">
        <f>IF(E39="","",E39+IF(F39="",0,F39))</f>
        <v/>
      </c>
      <c r="H39" s="8" t="n"/>
      <c r="I39" s="17">
        <f>IF(E39="","",IF(H39="Vendida",E39*Resumen!$B$3,0))</f>
        <v/>
      </c>
      <c r="J39" s="16" t="n"/>
      <c r="K39" s="17">
        <f>IF(I39="","",MAX(0,I39-IF(J39="",0,J39)))</f>
        <v/>
      </c>
      <c r="L39" s="8" t="n"/>
    </row>
    <row r="40">
      <c r="A40" s="15" t="n"/>
      <c r="B40" s="8" t="n"/>
      <c r="C40" s="8" t="n"/>
      <c r="D40" s="8" t="n"/>
      <c r="E40" s="16" t="n"/>
      <c r="F40" s="16" t="n"/>
      <c r="G40" s="17">
        <f>IF(E40="","",E40+IF(F40="",0,F40))</f>
        <v/>
      </c>
      <c r="H40" s="8" t="n"/>
      <c r="I40" s="17">
        <f>IF(E40="","",IF(H40="Vendida",E40*Resumen!$B$3,0))</f>
        <v/>
      </c>
      <c r="J40" s="16" t="n"/>
      <c r="K40" s="17">
        <f>IF(I40="","",MAX(0,I40-IF(J40="",0,J40)))</f>
        <v/>
      </c>
      <c r="L40" s="8" t="n"/>
    </row>
    <row r="41">
      <c r="A41" s="15" t="n"/>
      <c r="B41" s="8" t="n"/>
      <c r="C41" s="8" t="n"/>
      <c r="D41" s="8" t="n"/>
      <c r="E41" s="16" t="n"/>
      <c r="F41" s="16" t="n"/>
      <c r="G41" s="17">
        <f>IF(E41="","",E41+IF(F41="",0,F41))</f>
        <v/>
      </c>
      <c r="H41" s="8" t="n"/>
      <c r="I41" s="17">
        <f>IF(E41="","",IF(H41="Vendida",E41*Resumen!$B$3,0))</f>
        <v/>
      </c>
      <c r="J41" s="16" t="n"/>
      <c r="K41" s="17">
        <f>IF(I41="","",MAX(0,I41-IF(J41="",0,J41)))</f>
        <v/>
      </c>
      <c r="L41" s="8" t="n"/>
    </row>
    <row r="42">
      <c r="A42" s="15" t="n"/>
      <c r="B42" s="8" t="n"/>
      <c r="C42" s="8" t="n"/>
      <c r="D42" s="8" t="n"/>
      <c r="E42" s="16" t="n"/>
      <c r="F42" s="16" t="n"/>
      <c r="G42" s="17">
        <f>IF(E42="","",E42+IF(F42="",0,F42))</f>
        <v/>
      </c>
      <c r="H42" s="8" t="n"/>
      <c r="I42" s="17">
        <f>IF(E42="","",IF(H42="Vendida",E42*Resumen!$B$3,0))</f>
        <v/>
      </c>
      <c r="J42" s="16" t="n"/>
      <c r="K42" s="17">
        <f>IF(I42="","",MAX(0,I42-IF(J42="",0,J42)))</f>
        <v/>
      </c>
      <c r="L42" s="8" t="n"/>
    </row>
    <row r="43">
      <c r="A43" s="15" t="n"/>
      <c r="B43" s="8" t="n"/>
      <c r="C43" s="8" t="n"/>
      <c r="D43" s="8" t="n"/>
      <c r="E43" s="16" t="n"/>
      <c r="F43" s="16" t="n"/>
      <c r="G43" s="17">
        <f>IF(E43="","",E43+IF(F43="",0,F43))</f>
        <v/>
      </c>
      <c r="H43" s="8" t="n"/>
      <c r="I43" s="17">
        <f>IF(E43="","",IF(H43="Vendida",E43*Resumen!$B$3,0))</f>
        <v/>
      </c>
      <c r="J43" s="16" t="n"/>
      <c r="K43" s="17">
        <f>IF(I43="","",MAX(0,I43-IF(J43="",0,J43)))</f>
        <v/>
      </c>
      <c r="L43" s="8" t="n"/>
    </row>
    <row r="44">
      <c r="A44" s="15" t="n"/>
      <c r="B44" s="8" t="n"/>
      <c r="C44" s="8" t="n"/>
      <c r="D44" s="8" t="n"/>
      <c r="E44" s="16" t="n"/>
      <c r="F44" s="16" t="n"/>
      <c r="G44" s="17">
        <f>IF(E44="","",E44+IF(F44="",0,F44))</f>
        <v/>
      </c>
      <c r="H44" s="8" t="n"/>
      <c r="I44" s="17">
        <f>IF(E44="","",IF(H44="Vendida",E44*Resumen!$B$3,0))</f>
        <v/>
      </c>
      <c r="J44" s="16" t="n"/>
      <c r="K44" s="17">
        <f>IF(I44="","",MAX(0,I44-IF(J44="",0,J44)))</f>
        <v/>
      </c>
      <c r="L44" s="8" t="n"/>
    </row>
    <row r="45">
      <c r="A45" s="15" t="n"/>
      <c r="B45" s="8" t="n"/>
      <c r="C45" s="8" t="n"/>
      <c r="D45" s="8" t="n"/>
      <c r="E45" s="16" t="n"/>
      <c r="F45" s="16" t="n"/>
      <c r="G45" s="17">
        <f>IF(E45="","",E45+IF(F45="",0,F45))</f>
        <v/>
      </c>
      <c r="H45" s="8" t="n"/>
      <c r="I45" s="17">
        <f>IF(E45="","",IF(H45="Vendida",E45*Resumen!$B$3,0))</f>
        <v/>
      </c>
      <c r="J45" s="16" t="n"/>
      <c r="K45" s="17">
        <f>IF(I45="","",MAX(0,I45-IF(J45="",0,J45)))</f>
        <v/>
      </c>
      <c r="L45" s="8" t="n"/>
    </row>
    <row r="46">
      <c r="A46" s="15" t="n"/>
      <c r="B46" s="8" t="n"/>
      <c r="C46" s="8" t="n"/>
      <c r="D46" s="8" t="n"/>
      <c r="E46" s="16" t="n"/>
      <c r="F46" s="16" t="n"/>
      <c r="G46" s="17">
        <f>IF(E46="","",E46+IF(F46="",0,F46))</f>
        <v/>
      </c>
      <c r="H46" s="8" t="n"/>
      <c r="I46" s="17">
        <f>IF(E46="","",IF(H46="Vendida",E46*Resumen!$B$3,0))</f>
        <v/>
      </c>
      <c r="J46" s="16" t="n"/>
      <c r="K46" s="17">
        <f>IF(I46="","",MAX(0,I46-IF(J46="",0,J46)))</f>
        <v/>
      </c>
      <c r="L46" s="8" t="n"/>
    </row>
    <row r="47">
      <c r="A47" s="15" t="n"/>
      <c r="B47" s="8" t="n"/>
      <c r="C47" s="8" t="n"/>
      <c r="D47" s="8" t="n"/>
      <c r="E47" s="16" t="n"/>
      <c r="F47" s="16" t="n"/>
      <c r="G47" s="17">
        <f>IF(E47="","",E47+IF(F47="",0,F47))</f>
        <v/>
      </c>
      <c r="H47" s="8" t="n"/>
      <c r="I47" s="17">
        <f>IF(E47="","",IF(H47="Vendida",E47*Resumen!$B$3,0))</f>
        <v/>
      </c>
      <c r="J47" s="16" t="n"/>
      <c r="K47" s="17">
        <f>IF(I47="","",MAX(0,I47-IF(J47="",0,J47)))</f>
        <v/>
      </c>
      <c r="L47" s="8" t="n"/>
    </row>
    <row r="48">
      <c r="A48" s="15" t="n"/>
      <c r="B48" s="8" t="n"/>
      <c r="C48" s="8" t="n"/>
      <c r="D48" s="8" t="n"/>
      <c r="E48" s="16" t="n"/>
      <c r="F48" s="16" t="n"/>
      <c r="G48" s="17">
        <f>IF(E48="","",E48+IF(F48="",0,F48))</f>
        <v/>
      </c>
      <c r="H48" s="8" t="n"/>
      <c r="I48" s="17">
        <f>IF(E48="","",IF(H48="Vendida",E48*Resumen!$B$3,0))</f>
        <v/>
      </c>
      <c r="J48" s="16" t="n"/>
      <c r="K48" s="17">
        <f>IF(I48="","",MAX(0,I48-IF(J48="",0,J48)))</f>
        <v/>
      </c>
      <c r="L48" s="8" t="n"/>
    </row>
    <row r="49">
      <c r="A49" s="15" t="n"/>
      <c r="B49" s="8" t="n"/>
      <c r="C49" s="8" t="n"/>
      <c r="D49" s="8" t="n"/>
      <c r="E49" s="16" t="n"/>
      <c r="F49" s="16" t="n"/>
      <c r="G49" s="17">
        <f>IF(E49="","",E49+IF(F49="",0,F49))</f>
        <v/>
      </c>
      <c r="H49" s="8" t="n"/>
      <c r="I49" s="17">
        <f>IF(E49="","",IF(H49="Vendida",E49*Resumen!$B$3,0))</f>
        <v/>
      </c>
      <c r="J49" s="16" t="n"/>
      <c r="K49" s="17">
        <f>IF(I49="","",MAX(0,I49-IF(J49="",0,J49)))</f>
        <v/>
      </c>
      <c r="L49" s="8" t="n"/>
    </row>
    <row r="50">
      <c r="A50" s="15" t="n"/>
      <c r="B50" s="8" t="n"/>
      <c r="C50" s="8" t="n"/>
      <c r="D50" s="8" t="n"/>
      <c r="E50" s="16" t="n"/>
      <c r="F50" s="16" t="n"/>
      <c r="G50" s="17">
        <f>IF(E50="","",E50+IF(F50="",0,F50))</f>
        <v/>
      </c>
      <c r="H50" s="8" t="n"/>
      <c r="I50" s="17">
        <f>IF(E50="","",IF(H50="Vendida",E50*Resumen!$B$3,0))</f>
        <v/>
      </c>
      <c r="J50" s="16" t="n"/>
      <c r="K50" s="17">
        <f>IF(I50="","",MAX(0,I50-IF(J50="",0,J50)))</f>
        <v/>
      </c>
      <c r="L50" s="8" t="n"/>
    </row>
    <row r="51">
      <c r="A51" s="15" t="n"/>
      <c r="B51" s="8" t="n"/>
      <c r="C51" s="8" t="n"/>
      <c r="D51" s="8" t="n"/>
      <c r="E51" s="16" t="n"/>
      <c r="F51" s="16" t="n"/>
      <c r="G51" s="17">
        <f>IF(E51="","",E51+IF(F51="",0,F51))</f>
        <v/>
      </c>
      <c r="H51" s="8" t="n"/>
      <c r="I51" s="17">
        <f>IF(E51="","",IF(H51="Vendida",E51*Resumen!$B$3,0))</f>
        <v/>
      </c>
      <c r="J51" s="16" t="n"/>
      <c r="K51" s="17">
        <f>IF(I51="","",MAX(0,I51-IF(J51="",0,J51)))</f>
        <v/>
      </c>
      <c r="L51" s="8" t="n"/>
    </row>
    <row r="52">
      <c r="A52" s="15" t="n"/>
      <c r="B52" s="8" t="n"/>
      <c r="C52" s="8" t="n"/>
      <c r="D52" s="8" t="n"/>
      <c r="E52" s="16" t="n"/>
      <c r="F52" s="16" t="n"/>
      <c r="G52" s="17">
        <f>IF(E52="","",E52+IF(F52="",0,F52))</f>
        <v/>
      </c>
      <c r="H52" s="8" t="n"/>
      <c r="I52" s="17">
        <f>IF(E52="","",IF(H52="Vendida",E52*Resumen!$B$3,0))</f>
        <v/>
      </c>
      <c r="J52" s="16" t="n"/>
      <c r="K52" s="17">
        <f>IF(I52="","",MAX(0,I52-IF(J52="",0,J52)))</f>
        <v/>
      </c>
      <c r="L52" s="8" t="n"/>
    </row>
    <row r="53">
      <c r="A53" s="15" t="n"/>
      <c r="B53" s="8" t="n"/>
      <c r="C53" s="8" t="n"/>
      <c r="D53" s="8" t="n"/>
      <c r="E53" s="16" t="n"/>
      <c r="F53" s="16" t="n"/>
      <c r="G53" s="17">
        <f>IF(E53="","",E53+IF(F53="",0,F53))</f>
        <v/>
      </c>
      <c r="H53" s="8" t="n"/>
      <c r="I53" s="17">
        <f>IF(E53="","",IF(H53="Vendida",E53*Resumen!$B$3,0))</f>
        <v/>
      </c>
      <c r="J53" s="16" t="n"/>
      <c r="K53" s="17">
        <f>IF(I53="","",MAX(0,I53-IF(J53="",0,J53)))</f>
        <v/>
      </c>
      <c r="L53" s="8" t="n"/>
    </row>
    <row r="54">
      <c r="A54" s="15" t="n"/>
      <c r="B54" s="8" t="n"/>
      <c r="C54" s="8" t="n"/>
      <c r="D54" s="8" t="n"/>
      <c r="E54" s="16" t="n"/>
      <c r="F54" s="16" t="n"/>
      <c r="G54" s="17">
        <f>IF(E54="","",E54+IF(F54="",0,F54))</f>
        <v/>
      </c>
      <c r="H54" s="8" t="n"/>
      <c r="I54" s="17">
        <f>IF(E54="","",IF(H54="Vendida",E54*Resumen!$B$3,0))</f>
        <v/>
      </c>
      <c r="J54" s="16" t="n"/>
      <c r="K54" s="17">
        <f>IF(I54="","",MAX(0,I54-IF(J54="",0,J54)))</f>
        <v/>
      </c>
      <c r="L54" s="8" t="n"/>
    </row>
    <row r="55">
      <c r="A55" s="15" t="n"/>
      <c r="B55" s="8" t="n"/>
      <c r="C55" s="8" t="n"/>
      <c r="D55" s="8" t="n"/>
      <c r="E55" s="16" t="n"/>
      <c r="F55" s="16" t="n"/>
      <c r="G55" s="17">
        <f>IF(E55="","",E55+IF(F55="",0,F55))</f>
        <v/>
      </c>
      <c r="H55" s="8" t="n"/>
      <c r="I55" s="17">
        <f>IF(E55="","",IF(H55="Vendida",E55*Resumen!$B$3,0))</f>
        <v/>
      </c>
      <c r="J55" s="16" t="n"/>
      <c r="K55" s="17">
        <f>IF(I55="","",MAX(0,I55-IF(J55="",0,J55)))</f>
        <v/>
      </c>
      <c r="L55" s="8" t="n"/>
    </row>
    <row r="56">
      <c r="A56" s="15" t="n"/>
      <c r="B56" s="8" t="n"/>
      <c r="C56" s="8" t="n"/>
      <c r="D56" s="8" t="n"/>
      <c r="E56" s="16" t="n"/>
      <c r="F56" s="16" t="n"/>
      <c r="G56" s="17">
        <f>IF(E56="","",E56+IF(F56="",0,F56))</f>
        <v/>
      </c>
      <c r="H56" s="8" t="n"/>
      <c r="I56" s="17">
        <f>IF(E56="","",IF(H56="Vendida",E56*Resumen!$B$3,0))</f>
        <v/>
      </c>
      <c r="J56" s="16" t="n"/>
      <c r="K56" s="17">
        <f>IF(I56="","",MAX(0,I56-IF(J56="",0,J56)))</f>
        <v/>
      </c>
      <c r="L56" s="8" t="n"/>
    </row>
    <row r="57">
      <c r="A57" s="15" t="n"/>
      <c r="B57" s="8" t="n"/>
      <c r="C57" s="8" t="n"/>
      <c r="D57" s="8" t="n"/>
      <c r="E57" s="16" t="n"/>
      <c r="F57" s="16" t="n"/>
      <c r="G57" s="17">
        <f>IF(E57="","",E57+IF(F57="",0,F57))</f>
        <v/>
      </c>
      <c r="H57" s="8" t="n"/>
      <c r="I57" s="17">
        <f>IF(E57="","",IF(H57="Vendida",E57*Resumen!$B$3,0))</f>
        <v/>
      </c>
      <c r="J57" s="16" t="n"/>
      <c r="K57" s="17">
        <f>IF(I57="","",MAX(0,I57-IF(J57="",0,J57)))</f>
        <v/>
      </c>
      <c r="L57" s="8" t="n"/>
    </row>
    <row r="58">
      <c r="A58" s="15" t="n"/>
      <c r="B58" s="8" t="n"/>
      <c r="C58" s="8" t="n"/>
      <c r="D58" s="8" t="n"/>
      <c r="E58" s="16" t="n"/>
      <c r="F58" s="16" t="n"/>
      <c r="G58" s="17">
        <f>IF(E58="","",E58+IF(F58="",0,F58))</f>
        <v/>
      </c>
      <c r="H58" s="8" t="n"/>
      <c r="I58" s="17">
        <f>IF(E58="","",IF(H58="Vendida",E58*Resumen!$B$3,0))</f>
        <v/>
      </c>
      <c r="J58" s="16" t="n"/>
      <c r="K58" s="17">
        <f>IF(I58="","",MAX(0,I58-IF(J58="",0,J58)))</f>
        <v/>
      </c>
      <c r="L58" s="8" t="n"/>
    </row>
    <row r="59">
      <c r="A59" s="15" t="n"/>
      <c r="B59" s="8" t="n"/>
      <c r="C59" s="8" t="n"/>
      <c r="D59" s="8" t="n"/>
      <c r="E59" s="16" t="n"/>
      <c r="F59" s="16" t="n"/>
      <c r="G59" s="17">
        <f>IF(E59="","",E59+IF(F59="",0,F59))</f>
        <v/>
      </c>
      <c r="H59" s="8" t="n"/>
      <c r="I59" s="17">
        <f>IF(E59="","",IF(H59="Vendida",E59*Resumen!$B$3,0))</f>
        <v/>
      </c>
      <c r="J59" s="16" t="n"/>
      <c r="K59" s="17">
        <f>IF(I59="","",MAX(0,I59-IF(J59="",0,J59)))</f>
        <v/>
      </c>
      <c r="L59" s="8" t="n"/>
    </row>
    <row r="60">
      <c r="A60" s="15" t="n"/>
      <c r="B60" s="8" t="n"/>
      <c r="C60" s="8" t="n"/>
      <c r="D60" s="8" t="n"/>
      <c r="E60" s="16" t="n"/>
      <c r="F60" s="16" t="n"/>
      <c r="G60" s="17">
        <f>IF(E60="","",E60+IF(F60="",0,F60))</f>
        <v/>
      </c>
      <c r="H60" s="8" t="n"/>
      <c r="I60" s="17">
        <f>IF(E60="","",IF(H60="Vendida",E60*Resumen!$B$3,0))</f>
        <v/>
      </c>
      <c r="J60" s="16" t="n"/>
      <c r="K60" s="17">
        <f>IF(I60="","",MAX(0,I60-IF(J60="",0,J60)))</f>
        <v/>
      </c>
      <c r="L60" s="8" t="n"/>
    </row>
    <row r="61">
      <c r="A61" s="15" t="n"/>
      <c r="B61" s="8" t="n"/>
      <c r="C61" s="8" t="n"/>
      <c r="D61" s="8" t="n"/>
      <c r="E61" s="16" t="n"/>
      <c r="F61" s="16" t="n"/>
      <c r="G61" s="17">
        <f>IF(E61="","",E61+IF(F61="",0,F61))</f>
        <v/>
      </c>
      <c r="H61" s="8" t="n"/>
      <c r="I61" s="17">
        <f>IF(E61="","",IF(H61="Vendida",E61*Resumen!$B$3,0))</f>
        <v/>
      </c>
      <c r="J61" s="16" t="n"/>
      <c r="K61" s="17">
        <f>IF(I61="","",MAX(0,I61-IF(J61="",0,J61)))</f>
        <v/>
      </c>
      <c r="L61" s="8" t="n"/>
    </row>
    <row r="62">
      <c r="A62" s="15" t="n"/>
      <c r="B62" s="8" t="n"/>
      <c r="C62" s="8" t="n"/>
      <c r="D62" s="8" t="n"/>
      <c r="E62" s="16" t="n"/>
      <c r="F62" s="16" t="n"/>
      <c r="G62" s="17">
        <f>IF(E62="","",E62+IF(F62="",0,F62))</f>
        <v/>
      </c>
      <c r="H62" s="8" t="n"/>
      <c r="I62" s="17">
        <f>IF(E62="","",IF(H62="Vendida",E62*Resumen!$B$3,0))</f>
        <v/>
      </c>
      <c r="J62" s="16" t="n"/>
      <c r="K62" s="17">
        <f>IF(I62="","",MAX(0,I62-IF(J62="",0,J62)))</f>
        <v/>
      </c>
      <c r="L62" s="8" t="n"/>
    </row>
    <row r="63">
      <c r="A63" s="15" t="n"/>
      <c r="B63" s="8" t="n"/>
      <c r="C63" s="8" t="n"/>
      <c r="D63" s="8" t="n"/>
      <c r="E63" s="16" t="n"/>
      <c r="F63" s="16" t="n"/>
      <c r="G63" s="17">
        <f>IF(E63="","",E63+IF(F63="",0,F63))</f>
        <v/>
      </c>
      <c r="H63" s="8" t="n"/>
      <c r="I63" s="17">
        <f>IF(E63="","",IF(H63="Vendida",E63*Resumen!$B$3,0))</f>
        <v/>
      </c>
      <c r="J63" s="16" t="n"/>
      <c r="K63" s="17">
        <f>IF(I63="","",MAX(0,I63-IF(J63="",0,J63)))</f>
        <v/>
      </c>
      <c r="L63" s="8" t="n"/>
    </row>
    <row r="64">
      <c r="A64" s="15" t="n"/>
      <c r="B64" s="8" t="n"/>
      <c r="C64" s="8" t="n"/>
      <c r="D64" s="8" t="n"/>
      <c r="E64" s="16" t="n"/>
      <c r="F64" s="16" t="n"/>
      <c r="G64" s="17">
        <f>IF(E64="","",E64+IF(F64="",0,F64))</f>
        <v/>
      </c>
      <c r="H64" s="8" t="n"/>
      <c r="I64" s="17">
        <f>IF(E64="","",IF(H64="Vendida",E64*Resumen!$B$3,0))</f>
        <v/>
      </c>
      <c r="J64" s="16" t="n"/>
      <c r="K64" s="17">
        <f>IF(I64="","",MAX(0,I64-IF(J64="",0,J64)))</f>
        <v/>
      </c>
      <c r="L64" s="8" t="n"/>
    </row>
    <row r="65">
      <c r="A65" s="15" t="n"/>
      <c r="B65" s="8" t="n"/>
      <c r="C65" s="8" t="n"/>
      <c r="D65" s="8" t="n"/>
      <c r="E65" s="16" t="n"/>
      <c r="F65" s="16" t="n"/>
      <c r="G65" s="17">
        <f>IF(E65="","",E65+IF(F65="",0,F65))</f>
        <v/>
      </c>
      <c r="H65" s="8" t="n"/>
      <c r="I65" s="17">
        <f>IF(E65="","",IF(H65="Vendida",E65*Resumen!$B$3,0))</f>
        <v/>
      </c>
      <c r="J65" s="16" t="n"/>
      <c r="K65" s="17">
        <f>IF(I65="","",MAX(0,I65-IF(J65="",0,J65)))</f>
        <v/>
      </c>
      <c r="L65" s="8" t="n"/>
    </row>
    <row r="66">
      <c r="A66" s="15" t="n"/>
      <c r="B66" s="8" t="n"/>
      <c r="C66" s="8" t="n"/>
      <c r="D66" s="8" t="n"/>
      <c r="E66" s="16" t="n"/>
      <c r="F66" s="16" t="n"/>
      <c r="G66" s="17">
        <f>IF(E66="","",E66+IF(F66="",0,F66))</f>
        <v/>
      </c>
      <c r="H66" s="8" t="n"/>
      <c r="I66" s="17">
        <f>IF(E66="","",IF(H66="Vendida",E66*Resumen!$B$3,0))</f>
        <v/>
      </c>
      <c r="J66" s="16" t="n"/>
      <c r="K66" s="17">
        <f>IF(I66="","",MAX(0,I66-IF(J66="",0,J66)))</f>
        <v/>
      </c>
      <c r="L66" s="8" t="n"/>
    </row>
    <row r="67">
      <c r="A67" s="15" t="n"/>
      <c r="B67" s="8" t="n"/>
      <c r="C67" s="8" t="n"/>
      <c r="D67" s="8" t="n"/>
      <c r="E67" s="16" t="n"/>
      <c r="F67" s="16" t="n"/>
      <c r="G67" s="17">
        <f>IF(E67="","",E67+IF(F67="",0,F67))</f>
        <v/>
      </c>
      <c r="H67" s="8" t="n"/>
      <c r="I67" s="17">
        <f>IF(E67="","",IF(H67="Vendida",E67*Resumen!$B$3,0))</f>
        <v/>
      </c>
      <c r="J67" s="16" t="n"/>
      <c r="K67" s="17">
        <f>IF(I67="","",MAX(0,I67-IF(J67="",0,J67)))</f>
        <v/>
      </c>
      <c r="L67" s="8" t="n"/>
    </row>
    <row r="68">
      <c r="A68" s="15" t="n"/>
      <c r="B68" s="8" t="n"/>
      <c r="C68" s="8" t="n"/>
      <c r="D68" s="8" t="n"/>
      <c r="E68" s="16" t="n"/>
      <c r="F68" s="16" t="n"/>
      <c r="G68" s="17">
        <f>IF(E68="","",E68+IF(F68="",0,F68))</f>
        <v/>
      </c>
      <c r="H68" s="8" t="n"/>
      <c r="I68" s="17">
        <f>IF(E68="","",IF(H68="Vendida",E68*Resumen!$B$3,0))</f>
        <v/>
      </c>
      <c r="J68" s="16" t="n"/>
      <c r="K68" s="17">
        <f>IF(I68="","",MAX(0,I68-IF(J68="",0,J68)))</f>
        <v/>
      </c>
      <c r="L68" s="8" t="n"/>
    </row>
    <row r="69">
      <c r="A69" s="15" t="n"/>
      <c r="B69" s="8" t="n"/>
      <c r="C69" s="8" t="n"/>
      <c r="D69" s="8" t="n"/>
      <c r="E69" s="16" t="n"/>
      <c r="F69" s="16" t="n"/>
      <c r="G69" s="17">
        <f>IF(E69="","",E69+IF(F69="",0,F69))</f>
        <v/>
      </c>
      <c r="H69" s="8" t="n"/>
      <c r="I69" s="17">
        <f>IF(E69="","",IF(H69="Vendida",E69*Resumen!$B$3,0))</f>
        <v/>
      </c>
      <c r="J69" s="16" t="n"/>
      <c r="K69" s="17">
        <f>IF(I69="","",MAX(0,I69-IF(J69="",0,J69)))</f>
        <v/>
      </c>
      <c r="L69" s="8" t="n"/>
    </row>
    <row r="70">
      <c r="A70" s="15" t="n"/>
      <c r="B70" s="8" t="n"/>
      <c r="C70" s="8" t="n"/>
      <c r="D70" s="8" t="n"/>
      <c r="E70" s="16" t="n"/>
      <c r="F70" s="16" t="n"/>
      <c r="G70" s="17">
        <f>IF(E70="","",E70+IF(F70="",0,F70))</f>
        <v/>
      </c>
      <c r="H70" s="8" t="n"/>
      <c r="I70" s="17">
        <f>IF(E70="","",IF(H70="Vendida",E70*Resumen!$B$3,0))</f>
        <v/>
      </c>
      <c r="J70" s="16" t="n"/>
      <c r="K70" s="17">
        <f>IF(I70="","",MAX(0,I70-IF(J70="",0,J70)))</f>
        <v/>
      </c>
      <c r="L70" s="8" t="n"/>
    </row>
    <row r="71">
      <c r="A71" s="15" t="n"/>
      <c r="B71" s="8" t="n"/>
      <c r="C71" s="8" t="n"/>
      <c r="D71" s="8" t="n"/>
      <c r="E71" s="16" t="n"/>
      <c r="F71" s="16" t="n"/>
      <c r="G71" s="17">
        <f>IF(E71="","",E71+IF(F71="",0,F71))</f>
        <v/>
      </c>
      <c r="H71" s="8" t="n"/>
      <c r="I71" s="17">
        <f>IF(E71="","",IF(H71="Vendida",E71*Resumen!$B$3,0))</f>
        <v/>
      </c>
      <c r="J71" s="16" t="n"/>
      <c r="K71" s="17">
        <f>IF(I71="","",MAX(0,I71-IF(J71="",0,J71)))</f>
        <v/>
      </c>
      <c r="L71" s="8" t="n"/>
    </row>
    <row r="72">
      <c r="A72" s="15" t="n"/>
      <c r="B72" s="8" t="n"/>
      <c r="C72" s="8" t="n"/>
      <c r="D72" s="8" t="n"/>
      <c r="E72" s="16" t="n"/>
      <c r="F72" s="16" t="n"/>
      <c r="G72" s="17">
        <f>IF(E72="","",E72+IF(F72="",0,F72))</f>
        <v/>
      </c>
      <c r="H72" s="8" t="n"/>
      <c r="I72" s="17">
        <f>IF(E72="","",IF(H72="Vendida",E72*Resumen!$B$3,0))</f>
        <v/>
      </c>
      <c r="J72" s="16" t="n"/>
      <c r="K72" s="17">
        <f>IF(I72="","",MAX(0,I72-IF(J72="",0,J72)))</f>
        <v/>
      </c>
      <c r="L72" s="8" t="n"/>
    </row>
    <row r="73">
      <c r="A73" s="15" t="n"/>
      <c r="B73" s="8" t="n"/>
      <c r="C73" s="8" t="n"/>
      <c r="D73" s="8" t="n"/>
      <c r="E73" s="16" t="n"/>
      <c r="F73" s="16" t="n"/>
      <c r="G73" s="17">
        <f>IF(E73="","",E73+IF(F73="",0,F73))</f>
        <v/>
      </c>
      <c r="H73" s="8" t="n"/>
      <c r="I73" s="17">
        <f>IF(E73="","",IF(H73="Vendida",E73*Resumen!$B$3,0))</f>
        <v/>
      </c>
      <c r="J73" s="16" t="n"/>
      <c r="K73" s="17">
        <f>IF(I73="","",MAX(0,I73-IF(J73="",0,J73)))</f>
        <v/>
      </c>
      <c r="L73" s="8" t="n"/>
    </row>
    <row r="74">
      <c r="A74" s="15" t="n"/>
      <c r="B74" s="8" t="n"/>
      <c r="C74" s="8" t="n"/>
      <c r="D74" s="8" t="n"/>
      <c r="E74" s="16" t="n"/>
      <c r="F74" s="16" t="n"/>
      <c r="G74" s="17">
        <f>IF(E74="","",E74+IF(F74="",0,F74))</f>
        <v/>
      </c>
      <c r="H74" s="8" t="n"/>
      <c r="I74" s="17">
        <f>IF(E74="","",IF(H74="Vendida",E74*Resumen!$B$3,0))</f>
        <v/>
      </c>
      <c r="J74" s="16" t="n"/>
      <c r="K74" s="17">
        <f>IF(I74="","",MAX(0,I74-IF(J74="",0,J74)))</f>
        <v/>
      </c>
      <c r="L74" s="8" t="n"/>
    </row>
    <row r="75">
      <c r="A75" s="15" t="n"/>
      <c r="B75" s="8" t="n"/>
      <c r="C75" s="8" t="n"/>
      <c r="D75" s="8" t="n"/>
      <c r="E75" s="16" t="n"/>
      <c r="F75" s="16" t="n"/>
      <c r="G75" s="17">
        <f>IF(E75="","",E75+IF(F75="",0,F75))</f>
        <v/>
      </c>
      <c r="H75" s="8" t="n"/>
      <c r="I75" s="17">
        <f>IF(E75="","",IF(H75="Vendida",E75*Resumen!$B$3,0))</f>
        <v/>
      </c>
      <c r="J75" s="16" t="n"/>
      <c r="K75" s="17">
        <f>IF(I75="","",MAX(0,I75-IF(J75="",0,J75)))</f>
        <v/>
      </c>
      <c r="L75" s="8" t="n"/>
    </row>
    <row r="76">
      <c r="A76" s="15" t="n"/>
      <c r="B76" s="8" t="n"/>
      <c r="C76" s="8" t="n"/>
      <c r="D76" s="8" t="n"/>
      <c r="E76" s="16" t="n"/>
      <c r="F76" s="16" t="n"/>
      <c r="G76" s="17">
        <f>IF(E76="","",E76+IF(F76="",0,F76))</f>
        <v/>
      </c>
      <c r="H76" s="8" t="n"/>
      <c r="I76" s="17">
        <f>IF(E76="","",IF(H76="Vendida",E76*Resumen!$B$3,0))</f>
        <v/>
      </c>
      <c r="J76" s="16" t="n"/>
      <c r="K76" s="17">
        <f>IF(I76="","",MAX(0,I76-IF(J76="",0,J76)))</f>
        <v/>
      </c>
      <c r="L76" s="8" t="n"/>
    </row>
    <row r="77">
      <c r="A77" s="15" t="n"/>
      <c r="B77" s="8" t="n"/>
      <c r="C77" s="8" t="n"/>
      <c r="D77" s="8" t="n"/>
      <c r="E77" s="16" t="n"/>
      <c r="F77" s="16" t="n"/>
      <c r="G77" s="17">
        <f>IF(E77="","",E77+IF(F77="",0,F77))</f>
        <v/>
      </c>
      <c r="H77" s="8" t="n"/>
      <c r="I77" s="17">
        <f>IF(E77="","",IF(H77="Vendida",E77*Resumen!$B$3,0))</f>
        <v/>
      </c>
      <c r="J77" s="16" t="n"/>
      <c r="K77" s="17">
        <f>IF(I77="","",MAX(0,I77-IF(J77="",0,J77)))</f>
        <v/>
      </c>
      <c r="L77" s="8" t="n"/>
    </row>
    <row r="78">
      <c r="A78" s="15" t="n"/>
      <c r="B78" s="8" t="n"/>
      <c r="C78" s="8" t="n"/>
      <c r="D78" s="8" t="n"/>
      <c r="E78" s="16" t="n"/>
      <c r="F78" s="16" t="n"/>
      <c r="G78" s="17">
        <f>IF(E78="","",E78+IF(F78="",0,F78))</f>
        <v/>
      </c>
      <c r="H78" s="8" t="n"/>
      <c r="I78" s="17">
        <f>IF(E78="","",IF(H78="Vendida",E78*Resumen!$B$3,0))</f>
        <v/>
      </c>
      <c r="J78" s="16" t="n"/>
      <c r="K78" s="17">
        <f>IF(I78="","",MAX(0,I78-IF(J78="",0,J78)))</f>
        <v/>
      </c>
      <c r="L78" s="8" t="n"/>
    </row>
    <row r="79">
      <c r="A79" s="15" t="n"/>
      <c r="B79" s="8" t="n"/>
      <c r="C79" s="8" t="n"/>
      <c r="D79" s="8" t="n"/>
      <c r="E79" s="16" t="n"/>
      <c r="F79" s="16" t="n"/>
      <c r="G79" s="17">
        <f>IF(E79="","",E79+IF(F79="",0,F79))</f>
        <v/>
      </c>
      <c r="H79" s="8" t="n"/>
      <c r="I79" s="17">
        <f>IF(E79="","",IF(H79="Vendida",E79*Resumen!$B$3,0))</f>
        <v/>
      </c>
      <c r="J79" s="16" t="n"/>
      <c r="K79" s="17">
        <f>IF(I79="","",MAX(0,I79-IF(J79="",0,J79)))</f>
        <v/>
      </c>
      <c r="L79" s="8" t="n"/>
    </row>
    <row r="80">
      <c r="A80" s="15" t="n"/>
      <c r="B80" s="8" t="n"/>
      <c r="C80" s="8" t="n"/>
      <c r="D80" s="8" t="n"/>
      <c r="E80" s="16" t="n"/>
      <c r="F80" s="16" t="n"/>
      <c r="G80" s="17">
        <f>IF(E80="","",E80+IF(F80="",0,F80))</f>
        <v/>
      </c>
      <c r="H80" s="8" t="n"/>
      <c r="I80" s="17">
        <f>IF(E80="","",IF(H80="Vendida",E80*Resumen!$B$3,0))</f>
        <v/>
      </c>
      <c r="J80" s="16" t="n"/>
      <c r="K80" s="17">
        <f>IF(I80="","",MAX(0,I80-IF(J80="",0,J80)))</f>
        <v/>
      </c>
      <c r="L80" s="8" t="n"/>
    </row>
    <row r="81">
      <c r="A81" s="15" t="n"/>
      <c r="B81" s="8" t="n"/>
      <c r="C81" s="8" t="n"/>
      <c r="D81" s="8" t="n"/>
      <c r="E81" s="16" t="n"/>
      <c r="F81" s="16" t="n"/>
      <c r="G81" s="17">
        <f>IF(E81="","",E81+IF(F81="",0,F81))</f>
        <v/>
      </c>
      <c r="H81" s="8" t="n"/>
      <c r="I81" s="17">
        <f>IF(E81="","",IF(H81="Vendida",E81*Resumen!$B$3,0))</f>
        <v/>
      </c>
      <c r="J81" s="16" t="n"/>
      <c r="K81" s="17">
        <f>IF(I81="","",MAX(0,I81-IF(J81="",0,J81)))</f>
        <v/>
      </c>
      <c r="L81" s="8" t="n"/>
    </row>
    <row r="82">
      <c r="A82" s="15" t="n"/>
      <c r="B82" s="8" t="n"/>
      <c r="C82" s="8" t="n"/>
      <c r="D82" s="8" t="n"/>
      <c r="E82" s="16" t="n"/>
      <c r="F82" s="16" t="n"/>
      <c r="G82" s="17">
        <f>IF(E82="","",E82+IF(F82="",0,F82))</f>
        <v/>
      </c>
      <c r="H82" s="8" t="n"/>
      <c r="I82" s="17">
        <f>IF(E82="","",IF(H82="Vendida",E82*Resumen!$B$3,0))</f>
        <v/>
      </c>
      <c r="J82" s="16" t="n"/>
      <c r="K82" s="17">
        <f>IF(I82="","",MAX(0,I82-IF(J82="",0,J82)))</f>
        <v/>
      </c>
      <c r="L82" s="8" t="n"/>
    </row>
    <row r="83">
      <c r="A83" s="15" t="n"/>
      <c r="B83" s="8" t="n"/>
      <c r="C83" s="8" t="n"/>
      <c r="D83" s="8" t="n"/>
      <c r="E83" s="16" t="n"/>
      <c r="F83" s="16" t="n"/>
      <c r="G83" s="17">
        <f>IF(E83="","",E83+IF(F83="",0,F83))</f>
        <v/>
      </c>
      <c r="H83" s="8" t="n"/>
      <c r="I83" s="17">
        <f>IF(E83="","",IF(H83="Vendida",E83*Resumen!$B$3,0))</f>
        <v/>
      </c>
      <c r="J83" s="16" t="n"/>
      <c r="K83" s="17">
        <f>IF(I83="","",MAX(0,I83-IF(J83="",0,J83)))</f>
        <v/>
      </c>
      <c r="L83" s="8" t="n"/>
    </row>
    <row r="84">
      <c r="A84" s="15" t="n"/>
      <c r="B84" s="8" t="n"/>
      <c r="C84" s="8" t="n"/>
      <c r="D84" s="8" t="n"/>
      <c r="E84" s="16" t="n"/>
      <c r="F84" s="16" t="n"/>
      <c r="G84" s="17">
        <f>IF(E84="","",E84+IF(F84="",0,F84))</f>
        <v/>
      </c>
      <c r="H84" s="8" t="n"/>
      <c r="I84" s="17">
        <f>IF(E84="","",IF(H84="Vendida",E84*Resumen!$B$3,0))</f>
        <v/>
      </c>
      <c r="J84" s="16" t="n"/>
      <c r="K84" s="17">
        <f>IF(I84="","",MAX(0,I84-IF(J84="",0,J84)))</f>
        <v/>
      </c>
      <c r="L84" s="8" t="n"/>
    </row>
    <row r="85">
      <c r="A85" s="15" t="n"/>
      <c r="B85" s="8" t="n"/>
      <c r="C85" s="8" t="n"/>
      <c r="D85" s="8" t="n"/>
      <c r="E85" s="16" t="n"/>
      <c r="F85" s="16" t="n"/>
      <c r="G85" s="17">
        <f>IF(E85="","",E85+IF(F85="",0,F85))</f>
        <v/>
      </c>
      <c r="H85" s="8" t="n"/>
      <c r="I85" s="17">
        <f>IF(E85="","",IF(H85="Vendida",E85*Resumen!$B$3,0))</f>
        <v/>
      </c>
      <c r="J85" s="16" t="n"/>
      <c r="K85" s="17">
        <f>IF(I85="","",MAX(0,I85-IF(J85="",0,J85)))</f>
        <v/>
      </c>
      <c r="L85" s="8" t="n"/>
    </row>
    <row r="86">
      <c r="A86" s="15" t="n"/>
      <c r="B86" s="8" t="n"/>
      <c r="C86" s="8" t="n"/>
      <c r="D86" s="8" t="n"/>
      <c r="E86" s="16" t="n"/>
      <c r="F86" s="16" t="n"/>
      <c r="G86" s="17">
        <f>IF(E86="","",E86+IF(F86="",0,F86))</f>
        <v/>
      </c>
      <c r="H86" s="8" t="n"/>
      <c r="I86" s="17">
        <f>IF(E86="","",IF(H86="Vendida",E86*Resumen!$B$3,0))</f>
        <v/>
      </c>
      <c r="J86" s="16" t="n"/>
      <c r="K86" s="17">
        <f>IF(I86="","",MAX(0,I86-IF(J86="",0,J86)))</f>
        <v/>
      </c>
      <c r="L86" s="8" t="n"/>
    </row>
    <row r="87">
      <c r="A87" s="15" t="n"/>
      <c r="B87" s="8" t="n"/>
      <c r="C87" s="8" t="n"/>
      <c r="D87" s="8" t="n"/>
      <c r="E87" s="16" t="n"/>
      <c r="F87" s="16" t="n"/>
      <c r="G87" s="17">
        <f>IF(E87="","",E87+IF(F87="",0,F87))</f>
        <v/>
      </c>
      <c r="H87" s="8" t="n"/>
      <c r="I87" s="17">
        <f>IF(E87="","",IF(H87="Vendida",E87*Resumen!$B$3,0))</f>
        <v/>
      </c>
      <c r="J87" s="16" t="n"/>
      <c r="K87" s="17">
        <f>IF(I87="","",MAX(0,I87-IF(J87="",0,J87)))</f>
        <v/>
      </c>
      <c r="L87" s="8" t="n"/>
    </row>
    <row r="88">
      <c r="A88" s="15" t="n"/>
      <c r="B88" s="8" t="n"/>
      <c r="C88" s="8" t="n"/>
      <c r="D88" s="8" t="n"/>
      <c r="E88" s="16" t="n"/>
      <c r="F88" s="16" t="n"/>
      <c r="G88" s="17">
        <f>IF(E88="","",E88+IF(F88="",0,F88))</f>
        <v/>
      </c>
      <c r="H88" s="8" t="n"/>
      <c r="I88" s="17">
        <f>IF(E88="","",IF(H88="Vendida",E88*Resumen!$B$3,0))</f>
        <v/>
      </c>
      <c r="J88" s="16" t="n"/>
      <c r="K88" s="17">
        <f>IF(I88="","",MAX(0,I88-IF(J88="",0,J88)))</f>
        <v/>
      </c>
      <c r="L88" s="8" t="n"/>
    </row>
    <row r="89">
      <c r="A89" s="15" t="n"/>
      <c r="B89" s="8" t="n"/>
      <c r="C89" s="8" t="n"/>
      <c r="D89" s="8" t="n"/>
      <c r="E89" s="16" t="n"/>
      <c r="F89" s="16" t="n"/>
      <c r="G89" s="17">
        <f>IF(E89="","",E89+IF(F89="",0,F89))</f>
        <v/>
      </c>
      <c r="H89" s="8" t="n"/>
      <c r="I89" s="17">
        <f>IF(E89="","",IF(H89="Vendida",E89*Resumen!$B$3,0))</f>
        <v/>
      </c>
      <c r="J89" s="16" t="n"/>
      <c r="K89" s="17">
        <f>IF(I89="","",MAX(0,I89-IF(J89="",0,J89)))</f>
        <v/>
      </c>
      <c r="L89" s="8" t="n"/>
    </row>
    <row r="90">
      <c r="A90" s="15" t="n"/>
      <c r="B90" s="8" t="n"/>
      <c r="C90" s="8" t="n"/>
      <c r="D90" s="8" t="n"/>
      <c r="E90" s="16" t="n"/>
      <c r="F90" s="16" t="n"/>
      <c r="G90" s="17">
        <f>IF(E90="","",E90+IF(F90="",0,F90))</f>
        <v/>
      </c>
      <c r="H90" s="8" t="n"/>
      <c r="I90" s="17">
        <f>IF(E90="","",IF(H90="Vendida",E90*Resumen!$B$3,0))</f>
        <v/>
      </c>
      <c r="J90" s="16" t="n"/>
      <c r="K90" s="17">
        <f>IF(I90="","",MAX(0,I90-IF(J90="",0,J90)))</f>
        <v/>
      </c>
      <c r="L90" s="8" t="n"/>
    </row>
    <row r="91">
      <c r="A91" s="15" t="n"/>
      <c r="B91" s="8" t="n"/>
      <c r="C91" s="8" t="n"/>
      <c r="D91" s="8" t="n"/>
      <c r="E91" s="16" t="n"/>
      <c r="F91" s="16" t="n"/>
      <c r="G91" s="17">
        <f>IF(E91="","",E91+IF(F91="",0,F91))</f>
        <v/>
      </c>
      <c r="H91" s="8" t="n"/>
      <c r="I91" s="17">
        <f>IF(E91="","",IF(H91="Vendida",E91*Resumen!$B$3,0))</f>
        <v/>
      </c>
      <c r="J91" s="16" t="n"/>
      <c r="K91" s="17">
        <f>IF(I91="","",MAX(0,I91-IF(J91="",0,J91)))</f>
        <v/>
      </c>
      <c r="L91" s="8" t="n"/>
    </row>
    <row r="92">
      <c r="A92" s="15" t="n"/>
      <c r="B92" s="8" t="n"/>
      <c r="C92" s="8" t="n"/>
      <c r="D92" s="8" t="n"/>
      <c r="E92" s="16" t="n"/>
      <c r="F92" s="16" t="n"/>
      <c r="G92" s="17">
        <f>IF(E92="","",E92+IF(F92="",0,F92))</f>
        <v/>
      </c>
      <c r="H92" s="8" t="n"/>
      <c r="I92" s="17">
        <f>IF(E92="","",IF(H92="Vendida",E92*Resumen!$B$3,0))</f>
        <v/>
      </c>
      <c r="J92" s="16" t="n"/>
      <c r="K92" s="17">
        <f>IF(I92="","",MAX(0,I92-IF(J92="",0,J92)))</f>
        <v/>
      </c>
      <c r="L92" s="8" t="n"/>
    </row>
    <row r="93">
      <c r="A93" s="15" t="n"/>
      <c r="B93" s="8" t="n"/>
      <c r="C93" s="8" t="n"/>
      <c r="D93" s="8" t="n"/>
      <c r="E93" s="16" t="n"/>
      <c r="F93" s="16" t="n"/>
      <c r="G93" s="17">
        <f>IF(E93="","",E93+IF(F93="",0,F93))</f>
        <v/>
      </c>
      <c r="H93" s="8" t="n"/>
      <c r="I93" s="17">
        <f>IF(E93="","",IF(H93="Vendida",E93*Resumen!$B$3,0))</f>
        <v/>
      </c>
      <c r="J93" s="16" t="n"/>
      <c r="K93" s="17">
        <f>IF(I93="","",MAX(0,I93-IF(J93="",0,J93)))</f>
        <v/>
      </c>
      <c r="L93" s="8" t="n"/>
    </row>
    <row r="94">
      <c r="A94" s="15" t="n"/>
      <c r="B94" s="8" t="n"/>
      <c r="C94" s="8" t="n"/>
      <c r="D94" s="8" t="n"/>
      <c r="E94" s="16" t="n"/>
      <c r="F94" s="16" t="n"/>
      <c r="G94" s="17">
        <f>IF(E94="","",E94+IF(F94="",0,F94))</f>
        <v/>
      </c>
      <c r="H94" s="8" t="n"/>
      <c r="I94" s="17">
        <f>IF(E94="","",IF(H94="Vendida",E94*Resumen!$B$3,0))</f>
        <v/>
      </c>
      <c r="J94" s="16" t="n"/>
      <c r="K94" s="17">
        <f>IF(I94="","",MAX(0,I94-IF(J94="",0,J94)))</f>
        <v/>
      </c>
      <c r="L94" s="8" t="n"/>
    </row>
    <row r="95">
      <c r="A95" s="15" t="n"/>
      <c r="B95" s="8" t="n"/>
      <c r="C95" s="8" t="n"/>
      <c r="D95" s="8" t="n"/>
      <c r="E95" s="16" t="n"/>
      <c r="F95" s="16" t="n"/>
      <c r="G95" s="17">
        <f>IF(E95="","",E95+IF(F95="",0,F95))</f>
        <v/>
      </c>
      <c r="H95" s="8" t="n"/>
      <c r="I95" s="17">
        <f>IF(E95="","",IF(H95="Vendida",E95*Resumen!$B$3,0))</f>
        <v/>
      </c>
      <c r="J95" s="16" t="n"/>
      <c r="K95" s="17">
        <f>IF(I95="","",MAX(0,I95-IF(J95="",0,J95)))</f>
        <v/>
      </c>
      <c r="L95" s="8" t="n"/>
    </row>
    <row r="96">
      <c r="A96" s="15" t="n"/>
      <c r="B96" s="8" t="n"/>
      <c r="C96" s="8" t="n"/>
      <c r="D96" s="8" t="n"/>
      <c r="E96" s="16" t="n"/>
      <c r="F96" s="16" t="n"/>
      <c r="G96" s="17">
        <f>IF(E96="","",E96+IF(F96="",0,F96))</f>
        <v/>
      </c>
      <c r="H96" s="8" t="n"/>
      <c r="I96" s="17">
        <f>IF(E96="","",IF(H96="Vendida",E96*Resumen!$B$3,0))</f>
        <v/>
      </c>
      <c r="J96" s="16" t="n"/>
      <c r="K96" s="17">
        <f>IF(I96="","",MAX(0,I96-IF(J96="",0,J96)))</f>
        <v/>
      </c>
      <c r="L96" s="8" t="n"/>
    </row>
    <row r="97">
      <c r="A97" s="15" t="n"/>
      <c r="B97" s="8" t="n"/>
      <c r="C97" s="8" t="n"/>
      <c r="D97" s="8" t="n"/>
      <c r="E97" s="16" t="n"/>
      <c r="F97" s="16" t="n"/>
      <c r="G97" s="17">
        <f>IF(E97="","",E97+IF(F97="",0,F97))</f>
        <v/>
      </c>
      <c r="H97" s="8" t="n"/>
      <c r="I97" s="17">
        <f>IF(E97="","",IF(H97="Vendida",E97*Resumen!$B$3,0))</f>
        <v/>
      </c>
      <c r="J97" s="16" t="n"/>
      <c r="K97" s="17">
        <f>IF(I97="","",MAX(0,I97-IF(J97="",0,J97)))</f>
        <v/>
      </c>
      <c r="L97" s="8" t="n"/>
    </row>
    <row r="98">
      <c r="A98" s="15" t="n"/>
      <c r="B98" s="8" t="n"/>
      <c r="C98" s="8" t="n"/>
      <c r="D98" s="8" t="n"/>
      <c r="E98" s="16" t="n"/>
      <c r="F98" s="16" t="n"/>
      <c r="G98" s="17">
        <f>IF(E98="","",E98+IF(F98="",0,F98))</f>
        <v/>
      </c>
      <c r="H98" s="8" t="n"/>
      <c r="I98" s="17">
        <f>IF(E98="","",IF(H98="Vendida",E98*Resumen!$B$3,0))</f>
        <v/>
      </c>
      <c r="J98" s="16" t="n"/>
      <c r="K98" s="17">
        <f>IF(I98="","",MAX(0,I98-IF(J98="",0,J98)))</f>
        <v/>
      </c>
      <c r="L98" s="8" t="n"/>
    </row>
    <row r="99">
      <c r="A99" s="15" t="n"/>
      <c r="B99" s="8" t="n"/>
      <c r="C99" s="8" t="n"/>
      <c r="D99" s="8" t="n"/>
      <c r="E99" s="16" t="n"/>
      <c r="F99" s="16" t="n"/>
      <c r="G99" s="17">
        <f>IF(E99="","",E99+IF(F99="",0,F99))</f>
        <v/>
      </c>
      <c r="H99" s="8" t="n"/>
      <c r="I99" s="17">
        <f>IF(E99="","",IF(H99="Vendida",E99*Resumen!$B$3,0))</f>
        <v/>
      </c>
      <c r="J99" s="16" t="n"/>
      <c r="K99" s="17">
        <f>IF(I99="","",MAX(0,I99-IF(J99="",0,J99)))</f>
        <v/>
      </c>
      <c r="L99" s="8" t="n"/>
    </row>
    <row r="100">
      <c r="A100" s="15" t="n"/>
      <c r="B100" s="8" t="n"/>
      <c r="C100" s="8" t="n"/>
      <c r="D100" s="8" t="n"/>
      <c r="E100" s="16" t="n"/>
      <c r="F100" s="16" t="n"/>
      <c r="G100" s="17">
        <f>IF(E100="","",E100+IF(F100="",0,F100))</f>
        <v/>
      </c>
      <c r="H100" s="8" t="n"/>
      <c r="I100" s="17">
        <f>IF(E100="","",IF(H100="Vendida",E100*Resumen!$B$3,0))</f>
        <v/>
      </c>
      <c r="J100" s="16" t="n"/>
      <c r="K100" s="17">
        <f>IF(I100="","",MAX(0,I100-IF(J100="",0,J100)))</f>
        <v/>
      </c>
      <c r="L100" s="8" t="n"/>
    </row>
    <row r="101">
      <c r="A101" s="15" t="n"/>
      <c r="B101" s="8" t="n"/>
      <c r="C101" s="8" t="n"/>
      <c r="D101" s="8" t="n"/>
      <c r="E101" s="16" t="n"/>
      <c r="F101" s="16" t="n"/>
      <c r="G101" s="17">
        <f>IF(E101="","",E101+IF(F101="",0,F101))</f>
        <v/>
      </c>
      <c r="H101" s="8" t="n"/>
      <c r="I101" s="17">
        <f>IF(E101="","",IF(H101="Vendida",E101*Resumen!$B$3,0))</f>
        <v/>
      </c>
      <c r="J101" s="16" t="n"/>
      <c r="K101" s="17">
        <f>IF(I101="","",MAX(0,I101-IF(J101="",0,J101)))</f>
        <v/>
      </c>
      <c r="L101" s="8" t="n"/>
    </row>
    <row r="102">
      <c r="A102" s="15" t="n"/>
      <c r="B102" s="8" t="n"/>
      <c r="C102" s="8" t="n"/>
      <c r="D102" s="8" t="n"/>
      <c r="E102" s="16" t="n"/>
      <c r="F102" s="16" t="n"/>
      <c r="G102" s="17">
        <f>IF(E102="","",E102+IF(F102="",0,F102))</f>
        <v/>
      </c>
      <c r="H102" s="8" t="n"/>
      <c r="I102" s="17">
        <f>IF(E102="","",IF(H102="Vendida",E102*Resumen!$B$3,0))</f>
        <v/>
      </c>
      <c r="J102" s="16" t="n"/>
      <c r="K102" s="17">
        <f>IF(I102="","",MAX(0,I102-IF(J102="",0,J102)))</f>
        <v/>
      </c>
      <c r="L102" s="8" t="n"/>
    </row>
    <row r="103">
      <c r="A103" s="15" t="n"/>
      <c r="B103" s="8" t="n"/>
      <c r="C103" s="8" t="n"/>
      <c r="D103" s="8" t="n"/>
      <c r="E103" s="16" t="n"/>
      <c r="F103" s="16" t="n"/>
      <c r="G103" s="17">
        <f>IF(E103="","",E103+IF(F103="",0,F103))</f>
        <v/>
      </c>
      <c r="H103" s="8" t="n"/>
      <c r="I103" s="17">
        <f>IF(E103="","",IF(H103="Vendida",E103*Resumen!$B$3,0))</f>
        <v/>
      </c>
      <c r="J103" s="16" t="n"/>
      <c r="K103" s="17">
        <f>IF(I103="","",MAX(0,I103-IF(J103="",0,J103)))</f>
        <v/>
      </c>
      <c r="L103" s="8" t="n"/>
    </row>
    <row r="104">
      <c r="A104" s="15" t="n"/>
      <c r="B104" s="8" t="n"/>
      <c r="C104" s="8" t="n"/>
      <c r="D104" s="8" t="n"/>
      <c r="E104" s="16" t="n"/>
      <c r="F104" s="16" t="n"/>
      <c r="G104" s="17">
        <f>IF(E104="","",E104+IF(F104="",0,F104))</f>
        <v/>
      </c>
      <c r="H104" s="8" t="n"/>
      <c r="I104" s="17">
        <f>IF(E104="","",IF(H104="Vendida",E104*Resumen!$B$3,0))</f>
        <v/>
      </c>
      <c r="J104" s="16" t="n"/>
      <c r="K104" s="17">
        <f>IF(I104="","",MAX(0,I104-IF(J104="",0,J104)))</f>
        <v/>
      </c>
      <c r="L104" s="8" t="n"/>
    </row>
    <row r="105">
      <c r="A105" s="15" t="n"/>
      <c r="B105" s="8" t="n"/>
      <c r="C105" s="8" t="n"/>
      <c r="D105" s="8" t="n"/>
      <c r="E105" s="16" t="n"/>
      <c r="F105" s="16" t="n"/>
      <c r="G105" s="17">
        <f>IF(E105="","",E105+IF(F105="",0,F105))</f>
        <v/>
      </c>
      <c r="H105" s="8" t="n"/>
      <c r="I105" s="17">
        <f>IF(E105="","",IF(H105="Vendida",E105*Resumen!$B$3,0))</f>
        <v/>
      </c>
      <c r="J105" s="16" t="n"/>
      <c r="K105" s="17">
        <f>IF(I105="","",MAX(0,I105-IF(J105="",0,J105)))</f>
        <v/>
      </c>
      <c r="L105" s="8" t="n"/>
    </row>
    <row r="106">
      <c r="A106" s="15" t="n"/>
      <c r="B106" s="8" t="n"/>
      <c r="C106" s="8" t="n"/>
      <c r="D106" s="8" t="n"/>
      <c r="E106" s="16" t="n"/>
      <c r="F106" s="16" t="n"/>
      <c r="G106" s="17">
        <f>IF(E106="","",E106+IF(F106="",0,F106))</f>
        <v/>
      </c>
      <c r="H106" s="8" t="n"/>
      <c r="I106" s="17">
        <f>IF(E106="","",IF(H106="Vendida",E106*Resumen!$B$3,0))</f>
        <v/>
      </c>
      <c r="J106" s="16" t="n"/>
      <c r="K106" s="17">
        <f>IF(I106="","",MAX(0,I106-IF(J106="",0,J106)))</f>
        <v/>
      </c>
      <c r="L106" s="8" t="n"/>
    </row>
    <row r="107">
      <c r="A107" s="15" t="n"/>
      <c r="B107" s="8" t="n"/>
      <c r="C107" s="8" t="n"/>
      <c r="D107" s="8" t="n"/>
      <c r="E107" s="16" t="n"/>
      <c r="F107" s="16" t="n"/>
      <c r="G107" s="17">
        <f>IF(E107="","",E107+IF(F107="",0,F107))</f>
        <v/>
      </c>
      <c r="H107" s="8" t="n"/>
      <c r="I107" s="17">
        <f>IF(E107="","",IF(H107="Vendida",E107*Resumen!$B$3,0))</f>
        <v/>
      </c>
      <c r="J107" s="16" t="n"/>
      <c r="K107" s="17">
        <f>IF(I107="","",MAX(0,I107-IF(J107="",0,J107)))</f>
        <v/>
      </c>
      <c r="L107" s="8" t="n"/>
    </row>
    <row r="108">
      <c r="A108" s="15" t="n"/>
      <c r="B108" s="8" t="n"/>
      <c r="C108" s="8" t="n"/>
      <c r="D108" s="8" t="n"/>
      <c r="E108" s="16" t="n"/>
      <c r="F108" s="16" t="n"/>
      <c r="G108" s="17">
        <f>IF(E108="","",E108+IF(F108="",0,F108))</f>
        <v/>
      </c>
      <c r="H108" s="8" t="n"/>
      <c r="I108" s="17">
        <f>IF(E108="","",IF(H108="Vendida",E108*Resumen!$B$3,0))</f>
        <v/>
      </c>
      <c r="J108" s="16" t="n"/>
      <c r="K108" s="17">
        <f>IF(I108="","",MAX(0,I108-IF(J108="",0,J108)))</f>
        <v/>
      </c>
      <c r="L108" s="8" t="n"/>
    </row>
    <row r="109">
      <c r="A109" s="15" t="n"/>
      <c r="B109" s="8" t="n"/>
      <c r="C109" s="8" t="n"/>
      <c r="D109" s="8" t="n"/>
      <c r="E109" s="16" t="n"/>
      <c r="F109" s="16" t="n"/>
      <c r="G109" s="17">
        <f>IF(E109="","",E109+IF(F109="",0,F109))</f>
        <v/>
      </c>
      <c r="H109" s="8" t="n"/>
      <c r="I109" s="17">
        <f>IF(E109="","",IF(H109="Vendida",E109*Resumen!$B$3,0))</f>
        <v/>
      </c>
      <c r="J109" s="16" t="n"/>
      <c r="K109" s="17">
        <f>IF(I109="","",MAX(0,I109-IF(J109="",0,J109)))</f>
        <v/>
      </c>
      <c r="L109" s="8" t="n"/>
    </row>
    <row r="110">
      <c r="A110" s="15" t="n"/>
      <c r="B110" s="8" t="n"/>
      <c r="C110" s="8" t="n"/>
      <c r="D110" s="8" t="n"/>
      <c r="E110" s="16" t="n"/>
      <c r="F110" s="16" t="n"/>
      <c r="G110" s="17">
        <f>IF(E110="","",E110+IF(F110="",0,F110))</f>
        <v/>
      </c>
      <c r="H110" s="8" t="n"/>
      <c r="I110" s="17">
        <f>IF(E110="","",IF(H110="Vendida",E110*Resumen!$B$3,0))</f>
        <v/>
      </c>
      <c r="J110" s="16" t="n"/>
      <c r="K110" s="17">
        <f>IF(I110="","",MAX(0,I110-IF(J110="",0,J110)))</f>
        <v/>
      </c>
      <c r="L110" s="8" t="n"/>
    </row>
    <row r="111">
      <c r="A111" s="15" t="n"/>
      <c r="B111" s="8" t="n"/>
      <c r="C111" s="8" t="n"/>
      <c r="D111" s="8" t="n"/>
      <c r="E111" s="16" t="n"/>
      <c r="F111" s="16" t="n"/>
      <c r="G111" s="17">
        <f>IF(E111="","",E111+IF(F111="",0,F111))</f>
        <v/>
      </c>
      <c r="H111" s="8" t="n"/>
      <c r="I111" s="17">
        <f>IF(E111="","",IF(H111="Vendida",E111*Resumen!$B$3,0))</f>
        <v/>
      </c>
      <c r="J111" s="16" t="n"/>
      <c r="K111" s="17">
        <f>IF(I111="","",MAX(0,I111-IF(J111="",0,J111)))</f>
        <v/>
      </c>
      <c r="L111" s="8" t="n"/>
    </row>
    <row r="112">
      <c r="A112" s="15" t="n"/>
      <c r="B112" s="8" t="n"/>
      <c r="C112" s="8" t="n"/>
      <c r="D112" s="8" t="n"/>
      <c r="E112" s="16" t="n"/>
      <c r="F112" s="16" t="n"/>
      <c r="G112" s="17">
        <f>IF(E112="","",E112+IF(F112="",0,F112))</f>
        <v/>
      </c>
      <c r="H112" s="8" t="n"/>
      <c r="I112" s="17">
        <f>IF(E112="","",IF(H112="Vendida",E112*Resumen!$B$3,0))</f>
        <v/>
      </c>
      <c r="J112" s="16" t="n"/>
      <c r="K112" s="17">
        <f>IF(I112="","",MAX(0,I112-IF(J112="",0,J112)))</f>
        <v/>
      </c>
      <c r="L112" s="8" t="n"/>
    </row>
    <row r="113">
      <c r="A113" s="15" t="n"/>
      <c r="B113" s="8" t="n"/>
      <c r="C113" s="8" t="n"/>
      <c r="D113" s="8" t="n"/>
      <c r="E113" s="16" t="n"/>
      <c r="F113" s="16" t="n"/>
      <c r="G113" s="17">
        <f>IF(E113="","",E113+IF(F113="",0,F113))</f>
        <v/>
      </c>
      <c r="H113" s="8" t="n"/>
      <c r="I113" s="17">
        <f>IF(E113="","",IF(H113="Vendida",E113*Resumen!$B$3,0))</f>
        <v/>
      </c>
      <c r="J113" s="16" t="n"/>
      <c r="K113" s="17">
        <f>IF(I113="","",MAX(0,I113-IF(J113="",0,J113)))</f>
        <v/>
      </c>
      <c r="L113" s="8" t="n"/>
    </row>
    <row r="114">
      <c r="A114" s="15" t="n"/>
      <c r="B114" s="8" t="n"/>
      <c r="C114" s="8" t="n"/>
      <c r="D114" s="8" t="n"/>
      <c r="E114" s="16" t="n"/>
      <c r="F114" s="16" t="n"/>
      <c r="G114" s="17">
        <f>IF(E114="","",E114+IF(F114="",0,F114))</f>
        <v/>
      </c>
      <c r="H114" s="8" t="n"/>
      <c r="I114" s="17">
        <f>IF(E114="","",IF(H114="Vendida",E114*Resumen!$B$3,0))</f>
        <v/>
      </c>
      <c r="J114" s="16" t="n"/>
      <c r="K114" s="17">
        <f>IF(I114="","",MAX(0,I114-IF(J114="",0,J114)))</f>
        <v/>
      </c>
      <c r="L114" s="8" t="n"/>
    </row>
    <row r="115">
      <c r="A115" s="15" t="n"/>
      <c r="B115" s="8" t="n"/>
      <c r="C115" s="8" t="n"/>
      <c r="D115" s="8" t="n"/>
      <c r="E115" s="16" t="n"/>
      <c r="F115" s="16" t="n"/>
      <c r="G115" s="17">
        <f>IF(E115="","",E115+IF(F115="",0,F115))</f>
        <v/>
      </c>
      <c r="H115" s="8" t="n"/>
      <c r="I115" s="17">
        <f>IF(E115="","",IF(H115="Vendida",E115*Resumen!$B$3,0))</f>
        <v/>
      </c>
      <c r="J115" s="16" t="n"/>
      <c r="K115" s="17">
        <f>IF(I115="","",MAX(0,I115-IF(J115="",0,J115)))</f>
        <v/>
      </c>
      <c r="L115" s="8" t="n"/>
    </row>
    <row r="116">
      <c r="A116" s="15" t="n"/>
      <c r="B116" s="8" t="n"/>
      <c r="C116" s="8" t="n"/>
      <c r="D116" s="8" t="n"/>
      <c r="E116" s="16" t="n"/>
      <c r="F116" s="16" t="n"/>
      <c r="G116" s="17">
        <f>IF(E116="","",E116+IF(F116="",0,F116))</f>
        <v/>
      </c>
      <c r="H116" s="8" t="n"/>
      <c r="I116" s="17">
        <f>IF(E116="","",IF(H116="Vendida",E116*Resumen!$B$3,0))</f>
        <v/>
      </c>
      <c r="J116" s="16" t="n"/>
      <c r="K116" s="17">
        <f>IF(I116="","",MAX(0,I116-IF(J116="",0,J116)))</f>
        <v/>
      </c>
      <c r="L116" s="8" t="n"/>
    </row>
    <row r="117">
      <c r="A117" s="15" t="n"/>
      <c r="B117" s="8" t="n"/>
      <c r="C117" s="8" t="n"/>
      <c r="D117" s="8" t="n"/>
      <c r="E117" s="16" t="n"/>
      <c r="F117" s="16" t="n"/>
      <c r="G117" s="17">
        <f>IF(E117="","",E117+IF(F117="",0,F117))</f>
        <v/>
      </c>
      <c r="H117" s="8" t="n"/>
      <c r="I117" s="17">
        <f>IF(E117="","",IF(H117="Vendida",E117*Resumen!$B$3,0))</f>
        <v/>
      </c>
      <c r="J117" s="16" t="n"/>
      <c r="K117" s="17">
        <f>IF(I117="","",MAX(0,I117-IF(J117="",0,J117)))</f>
        <v/>
      </c>
      <c r="L117" s="8" t="n"/>
    </row>
    <row r="118">
      <c r="A118" s="15" t="n"/>
      <c r="B118" s="8" t="n"/>
      <c r="C118" s="8" t="n"/>
      <c r="D118" s="8" t="n"/>
      <c r="E118" s="16" t="n"/>
      <c r="F118" s="16" t="n"/>
      <c r="G118" s="17">
        <f>IF(E118="","",E118+IF(F118="",0,F118))</f>
        <v/>
      </c>
      <c r="H118" s="8" t="n"/>
      <c r="I118" s="17">
        <f>IF(E118="","",IF(H118="Vendida",E118*Resumen!$B$3,0))</f>
        <v/>
      </c>
      <c r="J118" s="16" t="n"/>
      <c r="K118" s="17">
        <f>IF(I118="","",MAX(0,I118-IF(J118="",0,J118)))</f>
        <v/>
      </c>
      <c r="L118" s="8" t="n"/>
    </row>
    <row r="119">
      <c r="A119" s="15" t="n"/>
      <c r="B119" s="8" t="n"/>
      <c r="C119" s="8" t="n"/>
      <c r="D119" s="8" t="n"/>
      <c r="E119" s="16" t="n"/>
      <c r="F119" s="16" t="n"/>
      <c r="G119" s="17">
        <f>IF(E119="","",E119+IF(F119="",0,F119))</f>
        <v/>
      </c>
      <c r="H119" s="8" t="n"/>
      <c r="I119" s="17">
        <f>IF(E119="","",IF(H119="Vendida",E119*Resumen!$B$3,0))</f>
        <v/>
      </c>
      <c r="J119" s="16" t="n"/>
      <c r="K119" s="17">
        <f>IF(I119="","",MAX(0,I119-IF(J119="",0,J119)))</f>
        <v/>
      </c>
      <c r="L119" s="8" t="n"/>
    </row>
    <row r="120">
      <c r="A120" s="15" t="n"/>
      <c r="B120" s="8" t="n"/>
      <c r="C120" s="8" t="n"/>
      <c r="D120" s="8" t="n"/>
      <c r="E120" s="16" t="n"/>
      <c r="F120" s="16" t="n"/>
      <c r="G120" s="17">
        <f>IF(E120="","",E120+IF(F120="",0,F120))</f>
        <v/>
      </c>
      <c r="H120" s="8" t="n"/>
      <c r="I120" s="17">
        <f>IF(E120="","",IF(H120="Vendida",E120*Resumen!$B$3,0))</f>
        <v/>
      </c>
      <c r="J120" s="16" t="n"/>
      <c r="K120" s="17">
        <f>IF(I120="","",MAX(0,I120-IF(J120="",0,J120)))</f>
        <v/>
      </c>
      <c r="L120" s="8" t="n"/>
    </row>
    <row r="121">
      <c r="A121" s="15" t="n"/>
      <c r="B121" s="8" t="n"/>
      <c r="C121" s="8" t="n"/>
      <c r="D121" s="8" t="n"/>
      <c r="E121" s="16" t="n"/>
      <c r="F121" s="16" t="n"/>
      <c r="G121" s="17">
        <f>IF(E121="","",E121+IF(F121="",0,F121))</f>
        <v/>
      </c>
      <c r="H121" s="8" t="n"/>
      <c r="I121" s="17">
        <f>IF(E121="","",IF(H121="Vendida",E121*Resumen!$B$3,0))</f>
        <v/>
      </c>
      <c r="J121" s="16" t="n"/>
      <c r="K121" s="17">
        <f>IF(I121="","",MAX(0,I121-IF(J121="",0,J121)))</f>
        <v/>
      </c>
      <c r="L121" s="8" t="n"/>
    </row>
    <row r="122">
      <c r="A122" s="15" t="n"/>
      <c r="B122" s="8" t="n"/>
      <c r="C122" s="8" t="n"/>
      <c r="D122" s="8" t="n"/>
      <c r="E122" s="16" t="n"/>
      <c r="F122" s="16" t="n"/>
      <c r="G122" s="17">
        <f>IF(E122="","",E122+IF(F122="",0,F122))</f>
        <v/>
      </c>
      <c r="H122" s="8" t="n"/>
      <c r="I122" s="17">
        <f>IF(E122="","",IF(H122="Vendida",E122*Resumen!$B$3,0))</f>
        <v/>
      </c>
      <c r="J122" s="16" t="n"/>
      <c r="K122" s="17">
        <f>IF(I122="","",MAX(0,I122-IF(J122="",0,J122)))</f>
        <v/>
      </c>
      <c r="L122" s="8" t="n"/>
    </row>
    <row r="123">
      <c r="A123" s="15" t="n"/>
      <c r="B123" s="8" t="n"/>
      <c r="C123" s="8" t="n"/>
      <c r="D123" s="8" t="n"/>
      <c r="E123" s="16" t="n"/>
      <c r="F123" s="16" t="n"/>
      <c r="G123" s="17">
        <f>IF(E123="","",E123+IF(F123="",0,F123))</f>
        <v/>
      </c>
      <c r="H123" s="8" t="n"/>
      <c r="I123" s="17">
        <f>IF(E123="","",IF(H123="Vendida",E123*Resumen!$B$3,0))</f>
        <v/>
      </c>
      <c r="J123" s="16" t="n"/>
      <c r="K123" s="17">
        <f>IF(I123="","",MAX(0,I123-IF(J123="",0,J123)))</f>
        <v/>
      </c>
      <c r="L123" s="8" t="n"/>
    </row>
    <row r="124">
      <c r="A124" s="15" t="n"/>
      <c r="B124" s="8" t="n"/>
      <c r="C124" s="8" t="n"/>
      <c r="D124" s="8" t="n"/>
      <c r="E124" s="16" t="n"/>
      <c r="F124" s="16" t="n"/>
      <c r="G124" s="17">
        <f>IF(E124="","",E124+IF(F124="",0,F124))</f>
        <v/>
      </c>
      <c r="H124" s="8" t="n"/>
      <c r="I124" s="17">
        <f>IF(E124="","",IF(H124="Vendida",E124*Resumen!$B$3,0))</f>
        <v/>
      </c>
      <c r="J124" s="16" t="n"/>
      <c r="K124" s="17">
        <f>IF(I124="","",MAX(0,I124-IF(J124="",0,J124)))</f>
        <v/>
      </c>
      <c r="L124" s="8" t="n"/>
    </row>
    <row r="125">
      <c r="A125" s="15" t="n"/>
      <c r="B125" s="8" t="n"/>
      <c r="C125" s="8" t="n"/>
      <c r="D125" s="8" t="n"/>
      <c r="E125" s="16" t="n"/>
      <c r="F125" s="16" t="n"/>
      <c r="G125" s="17">
        <f>IF(E125="","",E125+IF(F125="",0,F125))</f>
        <v/>
      </c>
      <c r="H125" s="8" t="n"/>
      <c r="I125" s="17">
        <f>IF(E125="","",IF(H125="Vendida",E125*Resumen!$B$3,0))</f>
        <v/>
      </c>
      <c r="J125" s="16" t="n"/>
      <c r="K125" s="17">
        <f>IF(I125="","",MAX(0,I125-IF(J125="",0,J125)))</f>
        <v/>
      </c>
      <c r="L125" s="8" t="n"/>
    </row>
    <row r="126">
      <c r="A126" s="15" t="n"/>
      <c r="B126" s="8" t="n"/>
      <c r="C126" s="8" t="n"/>
      <c r="D126" s="8" t="n"/>
      <c r="E126" s="16" t="n"/>
      <c r="F126" s="16" t="n"/>
      <c r="G126" s="17">
        <f>IF(E126="","",E126+IF(F126="",0,F126))</f>
        <v/>
      </c>
      <c r="H126" s="8" t="n"/>
      <c r="I126" s="17">
        <f>IF(E126="","",IF(H126="Vendida",E126*Resumen!$B$3,0))</f>
        <v/>
      </c>
      <c r="J126" s="16" t="n"/>
      <c r="K126" s="17">
        <f>IF(I126="","",MAX(0,I126-IF(J126="",0,J126)))</f>
        <v/>
      </c>
      <c r="L126" s="8" t="n"/>
    </row>
    <row r="127">
      <c r="A127" s="15" t="n"/>
      <c r="B127" s="8" t="n"/>
      <c r="C127" s="8" t="n"/>
      <c r="D127" s="8" t="n"/>
      <c r="E127" s="16" t="n"/>
      <c r="F127" s="16" t="n"/>
      <c r="G127" s="17">
        <f>IF(E127="","",E127+IF(F127="",0,F127))</f>
        <v/>
      </c>
      <c r="H127" s="8" t="n"/>
      <c r="I127" s="17">
        <f>IF(E127="","",IF(H127="Vendida",E127*Resumen!$B$3,0))</f>
        <v/>
      </c>
      <c r="J127" s="16" t="n"/>
      <c r="K127" s="17">
        <f>IF(I127="","",MAX(0,I127-IF(J127="",0,J127)))</f>
        <v/>
      </c>
      <c r="L127" s="8" t="n"/>
    </row>
    <row r="128">
      <c r="A128" s="15" t="n"/>
      <c r="B128" s="8" t="n"/>
      <c r="C128" s="8" t="n"/>
      <c r="D128" s="8" t="n"/>
      <c r="E128" s="16" t="n"/>
      <c r="F128" s="16" t="n"/>
      <c r="G128" s="17">
        <f>IF(E128="","",E128+IF(F128="",0,F128))</f>
        <v/>
      </c>
      <c r="H128" s="8" t="n"/>
      <c r="I128" s="17">
        <f>IF(E128="","",IF(H128="Vendida",E128*Resumen!$B$3,0))</f>
        <v/>
      </c>
      <c r="J128" s="16" t="n"/>
      <c r="K128" s="17">
        <f>IF(I128="","",MAX(0,I128-IF(J128="",0,J128)))</f>
        <v/>
      </c>
      <c r="L128" s="8" t="n"/>
    </row>
    <row r="129">
      <c r="A129" s="15" t="n"/>
      <c r="B129" s="8" t="n"/>
      <c r="C129" s="8" t="n"/>
      <c r="D129" s="8" t="n"/>
      <c r="E129" s="16" t="n"/>
      <c r="F129" s="16" t="n"/>
      <c r="G129" s="17">
        <f>IF(E129="","",E129+IF(F129="",0,F129))</f>
        <v/>
      </c>
      <c r="H129" s="8" t="n"/>
      <c r="I129" s="17">
        <f>IF(E129="","",IF(H129="Vendida",E129*Resumen!$B$3,0))</f>
        <v/>
      </c>
      <c r="J129" s="16" t="n"/>
      <c r="K129" s="17">
        <f>IF(I129="","",MAX(0,I129-IF(J129="",0,J129)))</f>
        <v/>
      </c>
      <c r="L129" s="8" t="n"/>
    </row>
    <row r="130">
      <c r="A130" s="15" t="n"/>
      <c r="B130" s="8" t="n"/>
      <c r="C130" s="8" t="n"/>
      <c r="D130" s="8" t="n"/>
      <c r="E130" s="16" t="n"/>
      <c r="F130" s="16" t="n"/>
      <c r="G130" s="17">
        <f>IF(E130="","",E130+IF(F130="",0,F130))</f>
        <v/>
      </c>
      <c r="H130" s="8" t="n"/>
      <c r="I130" s="17">
        <f>IF(E130="","",IF(H130="Vendida",E130*Resumen!$B$3,0))</f>
        <v/>
      </c>
      <c r="J130" s="16" t="n"/>
      <c r="K130" s="17">
        <f>IF(I130="","",MAX(0,I130-IF(J130="",0,J130)))</f>
        <v/>
      </c>
      <c r="L130" s="8" t="n"/>
    </row>
    <row r="131">
      <c r="A131" s="15" t="n"/>
      <c r="B131" s="8" t="n"/>
      <c r="C131" s="8" t="n"/>
      <c r="D131" s="8" t="n"/>
      <c r="E131" s="16" t="n"/>
      <c r="F131" s="16" t="n"/>
      <c r="G131" s="17">
        <f>IF(E131="","",E131+IF(F131="",0,F131))</f>
        <v/>
      </c>
      <c r="H131" s="8" t="n"/>
      <c r="I131" s="17">
        <f>IF(E131="","",IF(H131="Vendida",E131*Resumen!$B$3,0))</f>
        <v/>
      </c>
      <c r="J131" s="16" t="n"/>
      <c r="K131" s="17">
        <f>IF(I131="","",MAX(0,I131-IF(J131="",0,J131)))</f>
        <v/>
      </c>
      <c r="L131" s="8" t="n"/>
    </row>
    <row r="132">
      <c r="A132" s="15" t="n"/>
      <c r="B132" s="8" t="n"/>
      <c r="C132" s="8" t="n"/>
      <c r="D132" s="8" t="n"/>
      <c r="E132" s="16" t="n"/>
      <c r="F132" s="16" t="n"/>
      <c r="G132" s="17">
        <f>IF(E132="","",E132+IF(F132="",0,F132))</f>
        <v/>
      </c>
      <c r="H132" s="8" t="n"/>
      <c r="I132" s="17">
        <f>IF(E132="","",IF(H132="Vendida",E132*Resumen!$B$3,0))</f>
        <v/>
      </c>
      <c r="J132" s="16" t="n"/>
      <c r="K132" s="17">
        <f>IF(I132="","",MAX(0,I132-IF(J132="",0,J132)))</f>
        <v/>
      </c>
      <c r="L132" s="8" t="n"/>
    </row>
    <row r="133">
      <c r="A133" s="15" t="n"/>
      <c r="B133" s="8" t="n"/>
      <c r="C133" s="8" t="n"/>
      <c r="D133" s="8" t="n"/>
      <c r="E133" s="16" t="n"/>
      <c r="F133" s="16" t="n"/>
      <c r="G133" s="17">
        <f>IF(E133="","",E133+IF(F133="",0,F133))</f>
        <v/>
      </c>
      <c r="H133" s="8" t="n"/>
      <c r="I133" s="17">
        <f>IF(E133="","",IF(H133="Vendida",E133*Resumen!$B$3,0))</f>
        <v/>
      </c>
      <c r="J133" s="16" t="n"/>
      <c r="K133" s="17">
        <f>IF(I133="","",MAX(0,I133-IF(J133="",0,J133)))</f>
        <v/>
      </c>
      <c r="L133" s="8" t="n"/>
    </row>
    <row r="134">
      <c r="A134" s="15" t="n"/>
      <c r="B134" s="8" t="n"/>
      <c r="C134" s="8" t="n"/>
      <c r="D134" s="8" t="n"/>
      <c r="E134" s="16" t="n"/>
      <c r="F134" s="16" t="n"/>
      <c r="G134" s="17">
        <f>IF(E134="","",E134+IF(F134="",0,F134))</f>
        <v/>
      </c>
      <c r="H134" s="8" t="n"/>
      <c r="I134" s="17">
        <f>IF(E134="","",IF(H134="Vendida",E134*Resumen!$B$3,0))</f>
        <v/>
      </c>
      <c r="J134" s="16" t="n"/>
      <c r="K134" s="17">
        <f>IF(I134="","",MAX(0,I134-IF(J134="",0,J134)))</f>
        <v/>
      </c>
      <c r="L134" s="8" t="n"/>
    </row>
    <row r="135">
      <c r="A135" s="15" t="n"/>
      <c r="B135" s="8" t="n"/>
      <c r="C135" s="8" t="n"/>
      <c r="D135" s="8" t="n"/>
      <c r="E135" s="16" t="n"/>
      <c r="F135" s="16" t="n"/>
      <c r="G135" s="17">
        <f>IF(E135="","",E135+IF(F135="",0,F135))</f>
        <v/>
      </c>
      <c r="H135" s="8" t="n"/>
      <c r="I135" s="17">
        <f>IF(E135="","",IF(H135="Vendida",E135*Resumen!$B$3,0))</f>
        <v/>
      </c>
      <c r="J135" s="16" t="n"/>
      <c r="K135" s="17">
        <f>IF(I135="","",MAX(0,I135-IF(J135="",0,J135)))</f>
        <v/>
      </c>
      <c r="L135" s="8" t="n"/>
    </row>
    <row r="136">
      <c r="A136" s="15" t="n"/>
      <c r="B136" s="8" t="n"/>
      <c r="C136" s="8" t="n"/>
      <c r="D136" s="8" t="n"/>
      <c r="E136" s="16" t="n"/>
      <c r="F136" s="16" t="n"/>
      <c r="G136" s="17">
        <f>IF(E136="","",E136+IF(F136="",0,F136))</f>
        <v/>
      </c>
      <c r="H136" s="8" t="n"/>
      <c r="I136" s="17">
        <f>IF(E136="","",IF(H136="Vendida",E136*Resumen!$B$3,0))</f>
        <v/>
      </c>
      <c r="J136" s="16" t="n"/>
      <c r="K136" s="17">
        <f>IF(I136="","",MAX(0,I136-IF(J136="",0,J136)))</f>
        <v/>
      </c>
      <c r="L136" s="8" t="n"/>
    </row>
    <row r="137">
      <c r="A137" s="15" t="n"/>
      <c r="B137" s="8" t="n"/>
      <c r="C137" s="8" t="n"/>
      <c r="D137" s="8" t="n"/>
      <c r="E137" s="16" t="n"/>
      <c r="F137" s="16" t="n"/>
      <c r="G137" s="17">
        <f>IF(E137="","",E137+IF(F137="",0,F137))</f>
        <v/>
      </c>
      <c r="H137" s="8" t="n"/>
      <c r="I137" s="17">
        <f>IF(E137="","",IF(H137="Vendida",E137*Resumen!$B$3,0))</f>
        <v/>
      </c>
      <c r="J137" s="16" t="n"/>
      <c r="K137" s="17">
        <f>IF(I137="","",MAX(0,I137-IF(J137="",0,J137)))</f>
        <v/>
      </c>
      <c r="L137" s="8" t="n"/>
    </row>
    <row r="138">
      <c r="A138" s="15" t="n"/>
      <c r="B138" s="8" t="n"/>
      <c r="C138" s="8" t="n"/>
      <c r="D138" s="8" t="n"/>
      <c r="E138" s="16" t="n"/>
      <c r="F138" s="16" t="n"/>
      <c r="G138" s="17">
        <f>IF(E138="","",E138+IF(F138="",0,F138))</f>
        <v/>
      </c>
      <c r="H138" s="8" t="n"/>
      <c r="I138" s="17">
        <f>IF(E138="","",IF(H138="Vendida",E138*Resumen!$B$3,0))</f>
        <v/>
      </c>
      <c r="J138" s="16" t="n"/>
      <c r="K138" s="17">
        <f>IF(I138="","",MAX(0,I138-IF(J138="",0,J138)))</f>
        <v/>
      </c>
      <c r="L138" s="8" t="n"/>
    </row>
    <row r="139">
      <c r="A139" s="15" t="n"/>
      <c r="B139" s="8" t="n"/>
      <c r="C139" s="8" t="n"/>
      <c r="D139" s="8" t="n"/>
      <c r="E139" s="16" t="n"/>
      <c r="F139" s="16" t="n"/>
      <c r="G139" s="17">
        <f>IF(E139="","",E139+IF(F139="",0,F139))</f>
        <v/>
      </c>
      <c r="H139" s="8" t="n"/>
      <c r="I139" s="17">
        <f>IF(E139="","",IF(H139="Vendida",E139*Resumen!$B$3,0))</f>
        <v/>
      </c>
      <c r="J139" s="16" t="n"/>
      <c r="K139" s="17">
        <f>IF(I139="","",MAX(0,I139-IF(J139="",0,J139)))</f>
        <v/>
      </c>
      <c r="L139" s="8" t="n"/>
    </row>
    <row r="140">
      <c r="A140" s="15" t="n"/>
      <c r="B140" s="8" t="n"/>
      <c r="C140" s="8" t="n"/>
      <c r="D140" s="8" t="n"/>
      <c r="E140" s="16" t="n"/>
      <c r="F140" s="16" t="n"/>
      <c r="G140" s="17">
        <f>IF(E140="","",E140+IF(F140="",0,F140))</f>
        <v/>
      </c>
      <c r="H140" s="8" t="n"/>
      <c r="I140" s="17">
        <f>IF(E140="","",IF(H140="Vendida",E140*Resumen!$B$3,0))</f>
        <v/>
      </c>
      <c r="J140" s="16" t="n"/>
      <c r="K140" s="17">
        <f>IF(I140="","",MAX(0,I140-IF(J140="",0,J140)))</f>
        <v/>
      </c>
      <c r="L140" s="8" t="n"/>
    </row>
    <row r="141">
      <c r="A141" s="15" t="n"/>
      <c r="B141" s="8" t="n"/>
      <c r="C141" s="8" t="n"/>
      <c r="D141" s="8" t="n"/>
      <c r="E141" s="16" t="n"/>
      <c r="F141" s="16" t="n"/>
      <c r="G141" s="17">
        <f>IF(E141="","",E141+IF(F141="",0,F141))</f>
        <v/>
      </c>
      <c r="H141" s="8" t="n"/>
      <c r="I141" s="17">
        <f>IF(E141="","",IF(H141="Vendida",E141*Resumen!$B$3,0))</f>
        <v/>
      </c>
      <c r="J141" s="16" t="n"/>
      <c r="K141" s="17">
        <f>IF(I141="","",MAX(0,I141-IF(J141="",0,J141)))</f>
        <v/>
      </c>
      <c r="L141" s="8" t="n"/>
    </row>
    <row r="142">
      <c r="A142" s="15" t="n"/>
      <c r="B142" s="8" t="n"/>
      <c r="C142" s="8" t="n"/>
      <c r="D142" s="8" t="n"/>
      <c r="E142" s="16" t="n"/>
      <c r="F142" s="16" t="n"/>
      <c r="G142" s="17">
        <f>IF(E142="","",E142+IF(F142="",0,F142))</f>
        <v/>
      </c>
      <c r="H142" s="8" t="n"/>
      <c r="I142" s="17">
        <f>IF(E142="","",IF(H142="Vendida",E142*Resumen!$B$3,0))</f>
        <v/>
      </c>
      <c r="J142" s="16" t="n"/>
      <c r="K142" s="17">
        <f>IF(I142="","",MAX(0,I142-IF(J142="",0,J142)))</f>
        <v/>
      </c>
      <c r="L142" s="8" t="n"/>
    </row>
    <row r="143">
      <c r="A143" s="15" t="n"/>
      <c r="B143" s="8" t="n"/>
      <c r="C143" s="8" t="n"/>
      <c r="D143" s="8" t="n"/>
      <c r="E143" s="16" t="n"/>
      <c r="F143" s="16" t="n"/>
      <c r="G143" s="17">
        <f>IF(E143="","",E143+IF(F143="",0,F143))</f>
        <v/>
      </c>
      <c r="H143" s="8" t="n"/>
      <c r="I143" s="17">
        <f>IF(E143="","",IF(H143="Vendida",E143*Resumen!$B$3,0))</f>
        <v/>
      </c>
      <c r="J143" s="16" t="n"/>
      <c r="K143" s="17">
        <f>IF(I143="","",MAX(0,I143-IF(J143="",0,J143)))</f>
        <v/>
      </c>
      <c r="L143" s="8" t="n"/>
    </row>
    <row r="144">
      <c r="A144" s="15" t="n"/>
      <c r="B144" s="8" t="n"/>
      <c r="C144" s="8" t="n"/>
      <c r="D144" s="8" t="n"/>
      <c r="E144" s="16" t="n"/>
      <c r="F144" s="16" t="n"/>
      <c r="G144" s="17">
        <f>IF(E144="","",E144+IF(F144="",0,F144))</f>
        <v/>
      </c>
      <c r="H144" s="8" t="n"/>
      <c r="I144" s="17">
        <f>IF(E144="","",IF(H144="Vendida",E144*Resumen!$B$3,0))</f>
        <v/>
      </c>
      <c r="J144" s="16" t="n"/>
      <c r="K144" s="17">
        <f>IF(I144="","",MAX(0,I144-IF(J144="",0,J144)))</f>
        <v/>
      </c>
      <c r="L144" s="8" t="n"/>
    </row>
    <row r="145">
      <c r="A145" s="15" t="n"/>
      <c r="B145" s="8" t="n"/>
      <c r="C145" s="8" t="n"/>
      <c r="D145" s="8" t="n"/>
      <c r="E145" s="16" t="n"/>
      <c r="F145" s="16" t="n"/>
      <c r="G145" s="17">
        <f>IF(E145="","",E145+IF(F145="",0,F145))</f>
        <v/>
      </c>
      <c r="H145" s="8" t="n"/>
      <c r="I145" s="17">
        <f>IF(E145="","",IF(H145="Vendida",E145*Resumen!$B$3,0))</f>
        <v/>
      </c>
      <c r="J145" s="16" t="n"/>
      <c r="K145" s="17">
        <f>IF(I145="","",MAX(0,I145-IF(J145="",0,J145)))</f>
        <v/>
      </c>
      <c r="L145" s="8" t="n"/>
    </row>
    <row r="146">
      <c r="A146" s="15" t="n"/>
      <c r="B146" s="8" t="n"/>
      <c r="C146" s="8" t="n"/>
      <c r="D146" s="8" t="n"/>
      <c r="E146" s="16" t="n"/>
      <c r="F146" s="16" t="n"/>
      <c r="G146" s="17">
        <f>IF(E146="","",E146+IF(F146="",0,F146))</f>
        <v/>
      </c>
      <c r="H146" s="8" t="n"/>
      <c r="I146" s="17">
        <f>IF(E146="","",IF(H146="Vendida",E146*Resumen!$B$3,0))</f>
        <v/>
      </c>
      <c r="J146" s="16" t="n"/>
      <c r="K146" s="17">
        <f>IF(I146="","",MAX(0,I146-IF(J146="",0,J146)))</f>
        <v/>
      </c>
      <c r="L146" s="8" t="n"/>
    </row>
    <row r="147">
      <c r="A147" s="15" t="n"/>
      <c r="B147" s="8" t="n"/>
      <c r="C147" s="8" t="n"/>
      <c r="D147" s="8" t="n"/>
      <c r="E147" s="16" t="n"/>
      <c r="F147" s="16" t="n"/>
      <c r="G147" s="17">
        <f>IF(E147="","",E147+IF(F147="",0,F147))</f>
        <v/>
      </c>
      <c r="H147" s="8" t="n"/>
      <c r="I147" s="17">
        <f>IF(E147="","",IF(H147="Vendida",E147*Resumen!$B$3,0))</f>
        <v/>
      </c>
      <c r="J147" s="16" t="n"/>
      <c r="K147" s="17">
        <f>IF(I147="","",MAX(0,I147-IF(J147="",0,J147)))</f>
        <v/>
      </c>
      <c r="L147" s="8" t="n"/>
    </row>
    <row r="148">
      <c r="A148" s="15" t="n"/>
      <c r="B148" s="8" t="n"/>
      <c r="C148" s="8" t="n"/>
      <c r="D148" s="8" t="n"/>
      <c r="E148" s="16" t="n"/>
      <c r="F148" s="16" t="n"/>
      <c r="G148" s="17">
        <f>IF(E148="","",E148+IF(F148="",0,F148))</f>
        <v/>
      </c>
      <c r="H148" s="8" t="n"/>
      <c r="I148" s="17">
        <f>IF(E148="","",IF(H148="Vendida",E148*Resumen!$B$3,0))</f>
        <v/>
      </c>
      <c r="J148" s="16" t="n"/>
      <c r="K148" s="17">
        <f>IF(I148="","",MAX(0,I148-IF(J148="",0,J148)))</f>
        <v/>
      </c>
      <c r="L148" s="8" t="n"/>
    </row>
    <row r="149">
      <c r="A149" s="15" t="n"/>
      <c r="B149" s="8" t="n"/>
      <c r="C149" s="8" t="n"/>
      <c r="D149" s="8" t="n"/>
      <c r="E149" s="16" t="n"/>
      <c r="F149" s="16" t="n"/>
      <c r="G149" s="17">
        <f>IF(E149="","",E149+IF(F149="",0,F149))</f>
        <v/>
      </c>
      <c r="H149" s="8" t="n"/>
      <c r="I149" s="17">
        <f>IF(E149="","",IF(H149="Vendida",E149*Resumen!$B$3,0))</f>
        <v/>
      </c>
      <c r="J149" s="16" t="n"/>
      <c r="K149" s="17">
        <f>IF(I149="","",MAX(0,I149-IF(J149="",0,J149)))</f>
        <v/>
      </c>
      <c r="L149" s="8" t="n"/>
    </row>
    <row r="150">
      <c r="A150" s="15" t="n"/>
      <c r="B150" s="8" t="n"/>
      <c r="C150" s="8" t="n"/>
      <c r="D150" s="8" t="n"/>
      <c r="E150" s="16" t="n"/>
      <c r="F150" s="16" t="n"/>
      <c r="G150" s="17">
        <f>IF(E150="","",E150+IF(F150="",0,F150))</f>
        <v/>
      </c>
      <c r="H150" s="8" t="n"/>
      <c r="I150" s="17">
        <f>IF(E150="","",IF(H150="Vendida",E150*Resumen!$B$3,0))</f>
        <v/>
      </c>
      <c r="J150" s="16" t="n"/>
      <c r="K150" s="17">
        <f>IF(I150="","",MAX(0,I150-IF(J150="",0,J150)))</f>
        <v/>
      </c>
      <c r="L150" s="8" t="n"/>
    </row>
    <row r="151">
      <c r="A151" s="15" t="n"/>
      <c r="B151" s="8" t="n"/>
      <c r="C151" s="8" t="n"/>
      <c r="D151" s="8" t="n"/>
      <c r="E151" s="16" t="n"/>
      <c r="F151" s="16" t="n"/>
      <c r="G151" s="17">
        <f>IF(E151="","",E151+IF(F151="",0,F151))</f>
        <v/>
      </c>
      <c r="H151" s="8" t="n"/>
      <c r="I151" s="17">
        <f>IF(E151="","",IF(H151="Vendida",E151*Resumen!$B$3,0))</f>
        <v/>
      </c>
      <c r="J151" s="16" t="n"/>
      <c r="K151" s="17">
        <f>IF(I151="","",MAX(0,I151-IF(J151="",0,J151)))</f>
        <v/>
      </c>
      <c r="L151" s="8" t="n"/>
    </row>
    <row r="152">
      <c r="A152" s="15" t="n"/>
      <c r="B152" s="8" t="n"/>
      <c r="C152" s="8" t="n"/>
      <c r="D152" s="8" t="n"/>
      <c r="E152" s="16" t="n"/>
      <c r="F152" s="16" t="n"/>
      <c r="G152" s="17">
        <f>IF(E152="","",E152+IF(F152="",0,F152))</f>
        <v/>
      </c>
      <c r="H152" s="8" t="n"/>
      <c r="I152" s="17">
        <f>IF(E152="","",IF(H152="Vendida",E152*Resumen!$B$3,0))</f>
        <v/>
      </c>
      <c r="J152" s="16" t="n"/>
      <c r="K152" s="17">
        <f>IF(I152="","",MAX(0,I152-IF(J152="",0,J152)))</f>
        <v/>
      </c>
      <c r="L152" s="8" t="n"/>
    </row>
    <row r="153">
      <c r="A153" s="15" t="n"/>
      <c r="B153" s="8" t="n"/>
      <c r="C153" s="8" t="n"/>
      <c r="D153" s="8" t="n"/>
      <c r="E153" s="16" t="n"/>
      <c r="F153" s="16" t="n"/>
      <c r="G153" s="17">
        <f>IF(E153="","",E153+IF(F153="",0,F153))</f>
        <v/>
      </c>
      <c r="H153" s="8" t="n"/>
      <c r="I153" s="17">
        <f>IF(E153="","",IF(H153="Vendida",E153*Resumen!$B$3,0))</f>
        <v/>
      </c>
      <c r="J153" s="16" t="n"/>
      <c r="K153" s="17">
        <f>IF(I153="","",MAX(0,I153-IF(J153="",0,J153)))</f>
        <v/>
      </c>
      <c r="L153" s="8" t="n"/>
    </row>
    <row r="154">
      <c r="A154" s="15" t="n"/>
      <c r="B154" s="8" t="n"/>
      <c r="C154" s="8" t="n"/>
      <c r="D154" s="8" t="n"/>
      <c r="E154" s="16" t="n"/>
      <c r="F154" s="16" t="n"/>
      <c r="G154" s="17">
        <f>IF(E154="","",E154+IF(F154="",0,F154))</f>
        <v/>
      </c>
      <c r="H154" s="8" t="n"/>
      <c r="I154" s="17">
        <f>IF(E154="","",IF(H154="Vendida",E154*Resumen!$B$3,0))</f>
        <v/>
      </c>
      <c r="J154" s="16" t="n"/>
      <c r="K154" s="17">
        <f>IF(I154="","",MAX(0,I154-IF(J154="",0,J154)))</f>
        <v/>
      </c>
      <c r="L154" s="8" t="n"/>
    </row>
    <row r="155">
      <c r="A155" s="15" t="n"/>
      <c r="B155" s="8" t="n"/>
      <c r="C155" s="8" t="n"/>
      <c r="D155" s="8" t="n"/>
      <c r="E155" s="16" t="n"/>
      <c r="F155" s="16" t="n"/>
      <c r="G155" s="17">
        <f>IF(E155="","",E155+IF(F155="",0,F155))</f>
        <v/>
      </c>
      <c r="H155" s="8" t="n"/>
      <c r="I155" s="17">
        <f>IF(E155="","",IF(H155="Vendida",E155*Resumen!$B$3,0))</f>
        <v/>
      </c>
      <c r="J155" s="16" t="n"/>
      <c r="K155" s="17">
        <f>IF(I155="","",MAX(0,I155-IF(J155="",0,J155)))</f>
        <v/>
      </c>
      <c r="L155" s="8" t="n"/>
    </row>
    <row r="156">
      <c r="A156" s="15" t="n"/>
      <c r="B156" s="8" t="n"/>
      <c r="C156" s="8" t="n"/>
      <c r="D156" s="8" t="n"/>
      <c r="E156" s="16" t="n"/>
      <c r="F156" s="16" t="n"/>
      <c r="G156" s="17">
        <f>IF(E156="","",E156+IF(F156="",0,F156))</f>
        <v/>
      </c>
      <c r="H156" s="8" t="n"/>
      <c r="I156" s="17">
        <f>IF(E156="","",IF(H156="Vendida",E156*Resumen!$B$3,0))</f>
        <v/>
      </c>
      <c r="J156" s="16" t="n"/>
      <c r="K156" s="17">
        <f>IF(I156="","",MAX(0,I156-IF(J156="",0,J156)))</f>
        <v/>
      </c>
      <c r="L156" s="8" t="n"/>
    </row>
    <row r="157">
      <c r="A157" s="15" t="n"/>
      <c r="B157" s="8" t="n"/>
      <c r="C157" s="8" t="n"/>
      <c r="D157" s="8" t="n"/>
      <c r="E157" s="16" t="n"/>
      <c r="F157" s="16" t="n"/>
      <c r="G157" s="17">
        <f>IF(E157="","",E157+IF(F157="",0,F157))</f>
        <v/>
      </c>
      <c r="H157" s="8" t="n"/>
      <c r="I157" s="17">
        <f>IF(E157="","",IF(H157="Vendida",E157*Resumen!$B$3,0))</f>
        <v/>
      </c>
      <c r="J157" s="16" t="n"/>
      <c r="K157" s="17">
        <f>IF(I157="","",MAX(0,I157-IF(J157="",0,J157)))</f>
        <v/>
      </c>
      <c r="L157" s="8" t="n"/>
    </row>
    <row r="158">
      <c r="A158" s="15" t="n"/>
      <c r="B158" s="8" t="n"/>
      <c r="C158" s="8" t="n"/>
      <c r="D158" s="8" t="n"/>
      <c r="E158" s="16" t="n"/>
      <c r="F158" s="16" t="n"/>
      <c r="G158" s="17">
        <f>IF(E158="","",E158+IF(F158="",0,F158))</f>
        <v/>
      </c>
      <c r="H158" s="8" t="n"/>
      <c r="I158" s="17">
        <f>IF(E158="","",IF(H158="Vendida",E158*Resumen!$B$3,0))</f>
        <v/>
      </c>
      <c r="J158" s="16" t="n"/>
      <c r="K158" s="17">
        <f>IF(I158="","",MAX(0,I158-IF(J158="",0,J158)))</f>
        <v/>
      </c>
      <c r="L158" s="8" t="n"/>
    </row>
    <row r="159">
      <c r="A159" s="15" t="n"/>
      <c r="B159" s="8" t="n"/>
      <c r="C159" s="8" t="n"/>
      <c r="D159" s="8" t="n"/>
      <c r="E159" s="16" t="n"/>
      <c r="F159" s="16" t="n"/>
      <c r="G159" s="17">
        <f>IF(E159="","",E159+IF(F159="",0,F159))</f>
        <v/>
      </c>
      <c r="H159" s="8" t="n"/>
      <c r="I159" s="17">
        <f>IF(E159="","",IF(H159="Vendida",E159*Resumen!$B$3,0))</f>
        <v/>
      </c>
      <c r="J159" s="16" t="n"/>
      <c r="K159" s="17">
        <f>IF(I159="","",MAX(0,I159-IF(J159="",0,J159)))</f>
        <v/>
      </c>
      <c r="L159" s="8" t="n"/>
    </row>
    <row r="160">
      <c r="A160" s="15" t="n"/>
      <c r="B160" s="8" t="n"/>
      <c r="C160" s="8" t="n"/>
      <c r="D160" s="8" t="n"/>
      <c r="E160" s="16" t="n"/>
      <c r="F160" s="16" t="n"/>
      <c r="G160" s="17">
        <f>IF(E160="","",E160+IF(F160="",0,F160))</f>
        <v/>
      </c>
      <c r="H160" s="8" t="n"/>
      <c r="I160" s="17">
        <f>IF(E160="","",IF(H160="Vendida",E160*Resumen!$B$3,0))</f>
        <v/>
      </c>
      <c r="J160" s="16" t="n"/>
      <c r="K160" s="17">
        <f>IF(I160="","",MAX(0,I160-IF(J160="",0,J160)))</f>
        <v/>
      </c>
      <c r="L160" s="8" t="n"/>
    </row>
    <row r="161">
      <c r="A161" s="15" t="n"/>
      <c r="B161" s="8" t="n"/>
      <c r="C161" s="8" t="n"/>
      <c r="D161" s="8" t="n"/>
      <c r="E161" s="16" t="n"/>
      <c r="F161" s="16" t="n"/>
      <c r="G161" s="17">
        <f>IF(E161="","",E161+IF(F161="",0,F161))</f>
        <v/>
      </c>
      <c r="H161" s="8" t="n"/>
      <c r="I161" s="17">
        <f>IF(E161="","",IF(H161="Vendida",E161*Resumen!$B$3,0))</f>
        <v/>
      </c>
      <c r="J161" s="16" t="n"/>
      <c r="K161" s="17">
        <f>IF(I161="","",MAX(0,I161-IF(J161="",0,J161)))</f>
        <v/>
      </c>
      <c r="L161" s="8" t="n"/>
    </row>
    <row r="162">
      <c r="A162" s="15" t="n"/>
      <c r="B162" s="8" t="n"/>
      <c r="C162" s="8" t="n"/>
      <c r="D162" s="8" t="n"/>
      <c r="E162" s="16" t="n"/>
      <c r="F162" s="16" t="n"/>
      <c r="G162" s="17">
        <f>IF(E162="","",E162+IF(F162="",0,F162))</f>
        <v/>
      </c>
      <c r="H162" s="8" t="n"/>
      <c r="I162" s="17">
        <f>IF(E162="","",IF(H162="Vendida",E162*Resumen!$B$3,0))</f>
        <v/>
      </c>
      <c r="J162" s="16" t="n"/>
      <c r="K162" s="17">
        <f>IF(I162="","",MAX(0,I162-IF(J162="",0,J162)))</f>
        <v/>
      </c>
      <c r="L162" s="8" t="n"/>
    </row>
    <row r="163">
      <c r="A163" s="15" t="n"/>
      <c r="B163" s="8" t="n"/>
      <c r="C163" s="8" t="n"/>
      <c r="D163" s="8" t="n"/>
      <c r="E163" s="16" t="n"/>
      <c r="F163" s="16" t="n"/>
      <c r="G163" s="17">
        <f>IF(E163="","",E163+IF(F163="",0,F163))</f>
        <v/>
      </c>
      <c r="H163" s="8" t="n"/>
      <c r="I163" s="17">
        <f>IF(E163="","",IF(H163="Vendida",E163*Resumen!$B$3,0))</f>
        <v/>
      </c>
      <c r="J163" s="16" t="n"/>
      <c r="K163" s="17">
        <f>IF(I163="","",MAX(0,I163-IF(J163="",0,J163)))</f>
        <v/>
      </c>
      <c r="L163" s="8" t="n"/>
    </row>
    <row r="164">
      <c r="A164" s="15" t="n"/>
      <c r="B164" s="8" t="n"/>
      <c r="C164" s="8" t="n"/>
      <c r="D164" s="8" t="n"/>
      <c r="E164" s="16" t="n"/>
      <c r="F164" s="16" t="n"/>
      <c r="G164" s="17">
        <f>IF(E164="","",E164+IF(F164="",0,F164))</f>
        <v/>
      </c>
      <c r="H164" s="8" t="n"/>
      <c r="I164" s="17">
        <f>IF(E164="","",IF(H164="Vendida",E164*Resumen!$B$3,0))</f>
        <v/>
      </c>
      <c r="J164" s="16" t="n"/>
      <c r="K164" s="17">
        <f>IF(I164="","",MAX(0,I164-IF(J164="",0,J164)))</f>
        <v/>
      </c>
      <c r="L164" s="8" t="n"/>
    </row>
    <row r="165">
      <c r="A165" s="15" t="n"/>
      <c r="B165" s="8" t="n"/>
      <c r="C165" s="8" t="n"/>
      <c r="D165" s="8" t="n"/>
      <c r="E165" s="16" t="n"/>
      <c r="F165" s="16" t="n"/>
      <c r="G165" s="17">
        <f>IF(E165="","",E165+IF(F165="",0,F165))</f>
        <v/>
      </c>
      <c r="H165" s="8" t="n"/>
      <c r="I165" s="17">
        <f>IF(E165="","",IF(H165="Vendida",E165*Resumen!$B$3,0))</f>
        <v/>
      </c>
      <c r="J165" s="16" t="n"/>
      <c r="K165" s="17">
        <f>IF(I165="","",MAX(0,I165-IF(J165="",0,J165)))</f>
        <v/>
      </c>
      <c r="L165" s="8" t="n"/>
    </row>
    <row r="166">
      <c r="A166" s="15" t="n"/>
      <c r="B166" s="8" t="n"/>
      <c r="C166" s="8" t="n"/>
      <c r="D166" s="8" t="n"/>
      <c r="E166" s="16" t="n"/>
      <c r="F166" s="16" t="n"/>
      <c r="G166" s="17">
        <f>IF(E166="","",E166+IF(F166="",0,F166))</f>
        <v/>
      </c>
      <c r="H166" s="8" t="n"/>
      <c r="I166" s="17">
        <f>IF(E166="","",IF(H166="Vendida",E166*Resumen!$B$3,0))</f>
        <v/>
      </c>
      <c r="J166" s="16" t="n"/>
      <c r="K166" s="17">
        <f>IF(I166="","",MAX(0,I166-IF(J166="",0,J166)))</f>
        <v/>
      </c>
      <c r="L166" s="8" t="n"/>
    </row>
    <row r="167">
      <c r="A167" s="15" t="n"/>
      <c r="B167" s="8" t="n"/>
      <c r="C167" s="8" t="n"/>
      <c r="D167" s="8" t="n"/>
      <c r="E167" s="16" t="n"/>
      <c r="F167" s="16" t="n"/>
      <c r="G167" s="17">
        <f>IF(E167="","",E167+IF(F167="",0,F167))</f>
        <v/>
      </c>
      <c r="H167" s="8" t="n"/>
      <c r="I167" s="17">
        <f>IF(E167="","",IF(H167="Vendida",E167*Resumen!$B$3,0))</f>
        <v/>
      </c>
      <c r="J167" s="16" t="n"/>
      <c r="K167" s="17">
        <f>IF(I167="","",MAX(0,I167-IF(J167="",0,J167)))</f>
        <v/>
      </c>
      <c r="L167" s="8" t="n"/>
    </row>
    <row r="168">
      <c r="A168" s="15" t="n"/>
      <c r="B168" s="8" t="n"/>
      <c r="C168" s="8" t="n"/>
      <c r="D168" s="8" t="n"/>
      <c r="E168" s="16" t="n"/>
      <c r="F168" s="16" t="n"/>
      <c r="G168" s="17">
        <f>IF(E168="","",E168+IF(F168="",0,F168))</f>
        <v/>
      </c>
      <c r="H168" s="8" t="n"/>
      <c r="I168" s="17">
        <f>IF(E168="","",IF(H168="Vendida",E168*Resumen!$B$3,0))</f>
        <v/>
      </c>
      <c r="J168" s="16" t="n"/>
      <c r="K168" s="17">
        <f>IF(I168="","",MAX(0,I168-IF(J168="",0,J168)))</f>
        <v/>
      </c>
      <c r="L168" s="8" t="n"/>
    </row>
    <row r="169">
      <c r="A169" s="15" t="n"/>
      <c r="B169" s="8" t="n"/>
      <c r="C169" s="8" t="n"/>
      <c r="D169" s="8" t="n"/>
      <c r="E169" s="16" t="n"/>
      <c r="F169" s="16" t="n"/>
      <c r="G169" s="17">
        <f>IF(E169="","",E169+IF(F169="",0,F169))</f>
        <v/>
      </c>
      <c r="H169" s="8" t="n"/>
      <c r="I169" s="17">
        <f>IF(E169="","",IF(H169="Vendida",E169*Resumen!$B$3,0))</f>
        <v/>
      </c>
      <c r="J169" s="16" t="n"/>
      <c r="K169" s="17">
        <f>IF(I169="","",MAX(0,I169-IF(J169="",0,J169)))</f>
        <v/>
      </c>
      <c r="L169" s="8" t="n"/>
    </row>
    <row r="170">
      <c r="A170" s="15" t="n"/>
      <c r="B170" s="8" t="n"/>
      <c r="C170" s="8" t="n"/>
      <c r="D170" s="8" t="n"/>
      <c r="E170" s="16" t="n"/>
      <c r="F170" s="16" t="n"/>
      <c r="G170" s="17">
        <f>IF(E170="","",E170+IF(F170="",0,F170))</f>
        <v/>
      </c>
      <c r="H170" s="8" t="n"/>
      <c r="I170" s="17">
        <f>IF(E170="","",IF(H170="Vendida",E170*Resumen!$B$3,0))</f>
        <v/>
      </c>
      <c r="J170" s="16" t="n"/>
      <c r="K170" s="17">
        <f>IF(I170="","",MAX(0,I170-IF(J170="",0,J170)))</f>
        <v/>
      </c>
      <c r="L170" s="8" t="n"/>
    </row>
    <row r="171">
      <c r="A171" s="15" t="n"/>
      <c r="B171" s="8" t="n"/>
      <c r="C171" s="8" t="n"/>
      <c r="D171" s="8" t="n"/>
      <c r="E171" s="16" t="n"/>
      <c r="F171" s="16" t="n"/>
      <c r="G171" s="17">
        <f>IF(E171="","",E171+IF(F171="",0,F171))</f>
        <v/>
      </c>
      <c r="H171" s="8" t="n"/>
      <c r="I171" s="17">
        <f>IF(E171="","",IF(H171="Vendida",E171*Resumen!$B$3,0))</f>
        <v/>
      </c>
      <c r="J171" s="16" t="n"/>
      <c r="K171" s="17">
        <f>IF(I171="","",MAX(0,I171-IF(J171="",0,J171)))</f>
        <v/>
      </c>
      <c r="L171" s="8" t="n"/>
    </row>
    <row r="172">
      <c r="A172" s="15" t="n"/>
      <c r="B172" s="8" t="n"/>
      <c r="C172" s="8" t="n"/>
      <c r="D172" s="8" t="n"/>
      <c r="E172" s="16" t="n"/>
      <c r="F172" s="16" t="n"/>
      <c r="G172" s="17">
        <f>IF(E172="","",E172+IF(F172="",0,F172))</f>
        <v/>
      </c>
      <c r="H172" s="8" t="n"/>
      <c r="I172" s="17">
        <f>IF(E172="","",IF(H172="Vendida",E172*Resumen!$B$3,0))</f>
        <v/>
      </c>
      <c r="J172" s="16" t="n"/>
      <c r="K172" s="17">
        <f>IF(I172="","",MAX(0,I172-IF(J172="",0,J172)))</f>
        <v/>
      </c>
      <c r="L172" s="8" t="n"/>
    </row>
    <row r="173">
      <c r="A173" s="15" t="n"/>
      <c r="B173" s="8" t="n"/>
      <c r="C173" s="8" t="n"/>
      <c r="D173" s="8" t="n"/>
      <c r="E173" s="16" t="n"/>
      <c r="F173" s="16" t="n"/>
      <c r="G173" s="17">
        <f>IF(E173="","",E173+IF(F173="",0,F173))</f>
        <v/>
      </c>
      <c r="H173" s="8" t="n"/>
      <c r="I173" s="17">
        <f>IF(E173="","",IF(H173="Vendida",E173*Resumen!$B$3,0))</f>
        <v/>
      </c>
      <c r="J173" s="16" t="n"/>
      <c r="K173" s="17">
        <f>IF(I173="","",MAX(0,I173-IF(J173="",0,J173)))</f>
        <v/>
      </c>
      <c r="L173" s="8" t="n"/>
    </row>
    <row r="174">
      <c r="A174" s="15" t="n"/>
      <c r="B174" s="8" t="n"/>
      <c r="C174" s="8" t="n"/>
      <c r="D174" s="8" t="n"/>
      <c r="E174" s="16" t="n"/>
      <c r="F174" s="16" t="n"/>
      <c r="G174" s="17">
        <f>IF(E174="","",E174+IF(F174="",0,F174))</f>
        <v/>
      </c>
      <c r="H174" s="8" t="n"/>
      <c r="I174" s="17">
        <f>IF(E174="","",IF(H174="Vendida",E174*Resumen!$B$3,0))</f>
        <v/>
      </c>
      <c r="J174" s="16" t="n"/>
      <c r="K174" s="17">
        <f>IF(I174="","",MAX(0,I174-IF(J174="",0,J174)))</f>
        <v/>
      </c>
      <c r="L174" s="8" t="n"/>
    </row>
    <row r="175">
      <c r="A175" s="15" t="n"/>
      <c r="B175" s="8" t="n"/>
      <c r="C175" s="8" t="n"/>
      <c r="D175" s="8" t="n"/>
      <c r="E175" s="16" t="n"/>
      <c r="F175" s="16" t="n"/>
      <c r="G175" s="17">
        <f>IF(E175="","",E175+IF(F175="",0,F175))</f>
        <v/>
      </c>
      <c r="H175" s="8" t="n"/>
      <c r="I175" s="17">
        <f>IF(E175="","",IF(H175="Vendida",E175*Resumen!$B$3,0))</f>
        <v/>
      </c>
      <c r="J175" s="16" t="n"/>
      <c r="K175" s="17">
        <f>IF(I175="","",MAX(0,I175-IF(J175="",0,J175)))</f>
        <v/>
      </c>
      <c r="L175" s="8" t="n"/>
    </row>
    <row r="176">
      <c r="A176" s="15" t="n"/>
      <c r="B176" s="8" t="n"/>
      <c r="C176" s="8" t="n"/>
      <c r="D176" s="8" t="n"/>
      <c r="E176" s="16" t="n"/>
      <c r="F176" s="16" t="n"/>
      <c r="G176" s="17">
        <f>IF(E176="","",E176+IF(F176="",0,F176))</f>
        <v/>
      </c>
      <c r="H176" s="8" t="n"/>
      <c r="I176" s="17">
        <f>IF(E176="","",IF(H176="Vendida",E176*Resumen!$B$3,0))</f>
        <v/>
      </c>
      <c r="J176" s="16" t="n"/>
      <c r="K176" s="17">
        <f>IF(I176="","",MAX(0,I176-IF(J176="",0,J176)))</f>
        <v/>
      </c>
      <c r="L176" s="8" t="n"/>
    </row>
    <row r="177">
      <c r="A177" s="15" t="n"/>
      <c r="B177" s="8" t="n"/>
      <c r="C177" s="8" t="n"/>
      <c r="D177" s="8" t="n"/>
      <c r="E177" s="16" t="n"/>
      <c r="F177" s="16" t="n"/>
      <c r="G177" s="17">
        <f>IF(E177="","",E177+IF(F177="",0,F177))</f>
        <v/>
      </c>
      <c r="H177" s="8" t="n"/>
      <c r="I177" s="17">
        <f>IF(E177="","",IF(H177="Vendida",E177*Resumen!$B$3,0))</f>
        <v/>
      </c>
      <c r="J177" s="16" t="n"/>
      <c r="K177" s="17">
        <f>IF(I177="","",MAX(0,I177-IF(J177="",0,J177)))</f>
        <v/>
      </c>
      <c r="L177" s="8" t="n"/>
    </row>
    <row r="178">
      <c r="A178" s="15" t="n"/>
      <c r="B178" s="8" t="n"/>
      <c r="C178" s="8" t="n"/>
      <c r="D178" s="8" t="n"/>
      <c r="E178" s="16" t="n"/>
      <c r="F178" s="16" t="n"/>
      <c r="G178" s="17">
        <f>IF(E178="","",E178+IF(F178="",0,F178))</f>
        <v/>
      </c>
      <c r="H178" s="8" t="n"/>
      <c r="I178" s="17">
        <f>IF(E178="","",IF(H178="Vendida",E178*Resumen!$B$3,0))</f>
        <v/>
      </c>
      <c r="J178" s="16" t="n"/>
      <c r="K178" s="17">
        <f>IF(I178="","",MAX(0,I178-IF(J178="",0,J178)))</f>
        <v/>
      </c>
      <c r="L178" s="8" t="n"/>
    </row>
    <row r="179">
      <c r="A179" s="15" t="n"/>
      <c r="B179" s="8" t="n"/>
      <c r="C179" s="8" t="n"/>
      <c r="D179" s="8" t="n"/>
      <c r="E179" s="16" t="n"/>
      <c r="F179" s="16" t="n"/>
      <c r="G179" s="17">
        <f>IF(E179="","",E179+IF(F179="",0,F179))</f>
        <v/>
      </c>
      <c r="H179" s="8" t="n"/>
      <c r="I179" s="17">
        <f>IF(E179="","",IF(H179="Vendida",E179*Resumen!$B$3,0))</f>
        <v/>
      </c>
      <c r="J179" s="16" t="n"/>
      <c r="K179" s="17">
        <f>IF(I179="","",MAX(0,I179-IF(J179="",0,J179)))</f>
        <v/>
      </c>
      <c r="L179" s="8" t="n"/>
    </row>
    <row r="180">
      <c r="A180" s="15" t="n"/>
      <c r="B180" s="8" t="n"/>
      <c r="C180" s="8" t="n"/>
      <c r="D180" s="8" t="n"/>
      <c r="E180" s="16" t="n"/>
      <c r="F180" s="16" t="n"/>
      <c r="G180" s="17">
        <f>IF(E180="","",E180+IF(F180="",0,F180))</f>
        <v/>
      </c>
      <c r="H180" s="8" t="n"/>
      <c r="I180" s="17">
        <f>IF(E180="","",IF(H180="Vendida",E180*Resumen!$B$3,0))</f>
        <v/>
      </c>
      <c r="J180" s="16" t="n"/>
      <c r="K180" s="17">
        <f>IF(I180="","",MAX(0,I180-IF(J180="",0,J180)))</f>
        <v/>
      </c>
      <c r="L180" s="8" t="n"/>
    </row>
    <row r="181">
      <c r="A181" s="15" t="n"/>
      <c r="B181" s="8" t="n"/>
      <c r="C181" s="8" t="n"/>
      <c r="D181" s="8" t="n"/>
      <c r="E181" s="16" t="n"/>
      <c r="F181" s="16" t="n"/>
      <c r="G181" s="17">
        <f>IF(E181="","",E181+IF(F181="",0,F181))</f>
        <v/>
      </c>
      <c r="H181" s="8" t="n"/>
      <c r="I181" s="17">
        <f>IF(E181="","",IF(H181="Vendida",E181*Resumen!$B$3,0))</f>
        <v/>
      </c>
      <c r="J181" s="16" t="n"/>
      <c r="K181" s="17">
        <f>IF(I181="","",MAX(0,I181-IF(J181="",0,J181)))</f>
        <v/>
      </c>
      <c r="L181" s="8" t="n"/>
    </row>
    <row r="182">
      <c r="A182" s="15" t="n"/>
      <c r="B182" s="8" t="n"/>
      <c r="C182" s="8" t="n"/>
      <c r="D182" s="8" t="n"/>
      <c r="E182" s="16" t="n"/>
      <c r="F182" s="16" t="n"/>
      <c r="G182" s="17">
        <f>IF(E182="","",E182+IF(F182="",0,F182))</f>
        <v/>
      </c>
      <c r="H182" s="8" t="n"/>
      <c r="I182" s="17">
        <f>IF(E182="","",IF(H182="Vendida",E182*Resumen!$B$3,0))</f>
        <v/>
      </c>
      <c r="J182" s="16" t="n"/>
      <c r="K182" s="17">
        <f>IF(I182="","",MAX(0,I182-IF(J182="",0,J182)))</f>
        <v/>
      </c>
      <c r="L182" s="8" t="n"/>
    </row>
    <row r="183">
      <c r="A183" s="15" t="n"/>
      <c r="B183" s="8" t="n"/>
      <c r="C183" s="8" t="n"/>
      <c r="D183" s="8" t="n"/>
      <c r="E183" s="16" t="n"/>
      <c r="F183" s="16" t="n"/>
      <c r="G183" s="17">
        <f>IF(E183="","",E183+IF(F183="",0,F183))</f>
        <v/>
      </c>
      <c r="H183" s="8" t="n"/>
      <c r="I183" s="17">
        <f>IF(E183="","",IF(H183="Vendida",E183*Resumen!$B$3,0))</f>
        <v/>
      </c>
      <c r="J183" s="16" t="n"/>
      <c r="K183" s="17">
        <f>IF(I183="","",MAX(0,I183-IF(J183="",0,J183)))</f>
        <v/>
      </c>
      <c r="L183" s="8" t="n"/>
    </row>
    <row r="184">
      <c r="A184" s="15" t="n"/>
      <c r="B184" s="8" t="n"/>
      <c r="C184" s="8" t="n"/>
      <c r="D184" s="8" t="n"/>
      <c r="E184" s="16" t="n"/>
      <c r="F184" s="16" t="n"/>
      <c r="G184" s="17">
        <f>IF(E184="","",E184+IF(F184="",0,F184))</f>
        <v/>
      </c>
      <c r="H184" s="8" t="n"/>
      <c r="I184" s="17">
        <f>IF(E184="","",IF(H184="Vendida",E184*Resumen!$B$3,0))</f>
        <v/>
      </c>
      <c r="J184" s="16" t="n"/>
      <c r="K184" s="17">
        <f>IF(I184="","",MAX(0,I184-IF(J184="",0,J184)))</f>
        <v/>
      </c>
      <c r="L184" s="8" t="n"/>
    </row>
    <row r="185">
      <c r="A185" s="15" t="n"/>
      <c r="B185" s="8" t="n"/>
      <c r="C185" s="8" t="n"/>
      <c r="D185" s="8" t="n"/>
      <c r="E185" s="16" t="n"/>
      <c r="F185" s="16" t="n"/>
      <c r="G185" s="17">
        <f>IF(E185="","",E185+IF(F185="",0,F185))</f>
        <v/>
      </c>
      <c r="H185" s="8" t="n"/>
      <c r="I185" s="17">
        <f>IF(E185="","",IF(H185="Vendida",E185*Resumen!$B$3,0))</f>
        <v/>
      </c>
      <c r="J185" s="16" t="n"/>
      <c r="K185" s="17">
        <f>IF(I185="","",MAX(0,I185-IF(J185="",0,J185)))</f>
        <v/>
      </c>
      <c r="L185" s="8" t="n"/>
    </row>
    <row r="186">
      <c r="A186" s="15" t="n"/>
      <c r="B186" s="8" t="n"/>
      <c r="C186" s="8" t="n"/>
      <c r="D186" s="8" t="n"/>
      <c r="E186" s="16" t="n"/>
      <c r="F186" s="16" t="n"/>
      <c r="G186" s="17">
        <f>IF(E186="","",E186+IF(F186="",0,F186))</f>
        <v/>
      </c>
      <c r="H186" s="8" t="n"/>
      <c r="I186" s="17">
        <f>IF(E186="","",IF(H186="Vendida",E186*Resumen!$B$3,0))</f>
        <v/>
      </c>
      <c r="J186" s="16" t="n"/>
      <c r="K186" s="17">
        <f>IF(I186="","",MAX(0,I186-IF(J186="",0,J186)))</f>
        <v/>
      </c>
      <c r="L186" s="8" t="n"/>
    </row>
    <row r="187">
      <c r="A187" s="15" t="n"/>
      <c r="B187" s="8" t="n"/>
      <c r="C187" s="8" t="n"/>
      <c r="D187" s="8" t="n"/>
      <c r="E187" s="16" t="n"/>
      <c r="F187" s="16" t="n"/>
      <c r="G187" s="17">
        <f>IF(E187="","",E187+IF(F187="",0,F187))</f>
        <v/>
      </c>
      <c r="H187" s="8" t="n"/>
      <c r="I187" s="17">
        <f>IF(E187="","",IF(H187="Vendida",E187*Resumen!$B$3,0))</f>
        <v/>
      </c>
      <c r="J187" s="16" t="n"/>
      <c r="K187" s="17">
        <f>IF(I187="","",MAX(0,I187-IF(J187="",0,J187)))</f>
        <v/>
      </c>
      <c r="L187" s="8" t="n"/>
    </row>
    <row r="188">
      <c r="A188" s="15" t="n"/>
      <c r="B188" s="8" t="n"/>
      <c r="C188" s="8" t="n"/>
      <c r="D188" s="8" t="n"/>
      <c r="E188" s="16" t="n"/>
      <c r="F188" s="16" t="n"/>
      <c r="G188" s="17">
        <f>IF(E188="","",E188+IF(F188="",0,F188))</f>
        <v/>
      </c>
      <c r="H188" s="8" t="n"/>
      <c r="I188" s="17">
        <f>IF(E188="","",IF(H188="Vendida",E188*Resumen!$B$3,0))</f>
        <v/>
      </c>
      <c r="J188" s="16" t="n"/>
      <c r="K188" s="17">
        <f>IF(I188="","",MAX(0,I188-IF(J188="",0,J188)))</f>
        <v/>
      </c>
      <c r="L188" s="8" t="n"/>
    </row>
    <row r="189">
      <c r="A189" s="15" t="n"/>
      <c r="B189" s="8" t="n"/>
      <c r="C189" s="8" t="n"/>
      <c r="D189" s="8" t="n"/>
      <c r="E189" s="16" t="n"/>
      <c r="F189" s="16" t="n"/>
      <c r="G189" s="17">
        <f>IF(E189="","",E189+IF(F189="",0,F189))</f>
        <v/>
      </c>
      <c r="H189" s="8" t="n"/>
      <c r="I189" s="17">
        <f>IF(E189="","",IF(H189="Vendida",E189*Resumen!$B$3,0))</f>
        <v/>
      </c>
      <c r="J189" s="16" t="n"/>
      <c r="K189" s="17">
        <f>IF(I189="","",MAX(0,I189-IF(J189="",0,J189)))</f>
        <v/>
      </c>
      <c r="L189" s="8" t="n"/>
    </row>
    <row r="190">
      <c r="A190" s="15" t="n"/>
      <c r="B190" s="8" t="n"/>
      <c r="C190" s="8" t="n"/>
      <c r="D190" s="8" t="n"/>
      <c r="E190" s="16" t="n"/>
      <c r="F190" s="16" t="n"/>
      <c r="G190" s="17">
        <f>IF(E190="","",E190+IF(F190="",0,F190))</f>
        <v/>
      </c>
      <c r="H190" s="8" t="n"/>
      <c r="I190" s="17">
        <f>IF(E190="","",IF(H190="Vendida",E190*Resumen!$B$3,0))</f>
        <v/>
      </c>
      <c r="J190" s="16" t="n"/>
      <c r="K190" s="17">
        <f>IF(I190="","",MAX(0,I190-IF(J190="",0,J190)))</f>
        <v/>
      </c>
      <c r="L190" s="8" t="n"/>
    </row>
    <row r="191">
      <c r="A191" s="15" t="n"/>
      <c r="B191" s="8" t="n"/>
      <c r="C191" s="8" t="n"/>
      <c r="D191" s="8" t="n"/>
      <c r="E191" s="16" t="n"/>
      <c r="F191" s="16" t="n"/>
      <c r="G191" s="17">
        <f>IF(E191="","",E191+IF(F191="",0,F191))</f>
        <v/>
      </c>
      <c r="H191" s="8" t="n"/>
      <c r="I191" s="17">
        <f>IF(E191="","",IF(H191="Vendida",E191*Resumen!$B$3,0))</f>
        <v/>
      </c>
      <c r="J191" s="16" t="n"/>
      <c r="K191" s="17">
        <f>IF(I191="","",MAX(0,I191-IF(J191="",0,J191)))</f>
        <v/>
      </c>
      <c r="L191" s="8" t="n"/>
    </row>
    <row r="192">
      <c r="A192" s="15" t="n"/>
      <c r="B192" s="8" t="n"/>
      <c r="C192" s="8" t="n"/>
      <c r="D192" s="8" t="n"/>
      <c r="E192" s="16" t="n"/>
      <c r="F192" s="16" t="n"/>
      <c r="G192" s="17">
        <f>IF(E192="","",E192+IF(F192="",0,F192))</f>
        <v/>
      </c>
      <c r="H192" s="8" t="n"/>
      <c r="I192" s="17">
        <f>IF(E192="","",IF(H192="Vendida",E192*Resumen!$B$3,0))</f>
        <v/>
      </c>
      <c r="J192" s="16" t="n"/>
      <c r="K192" s="17">
        <f>IF(I192="","",MAX(0,I192-IF(J192="",0,J192)))</f>
        <v/>
      </c>
      <c r="L192" s="8" t="n"/>
    </row>
    <row r="193">
      <c r="A193" s="15" t="n"/>
      <c r="B193" s="8" t="n"/>
      <c r="C193" s="8" t="n"/>
      <c r="D193" s="8" t="n"/>
      <c r="E193" s="16" t="n"/>
      <c r="F193" s="16" t="n"/>
      <c r="G193" s="17">
        <f>IF(E193="","",E193+IF(F193="",0,F193))</f>
        <v/>
      </c>
      <c r="H193" s="8" t="n"/>
      <c r="I193" s="17">
        <f>IF(E193="","",IF(H193="Vendida",E193*Resumen!$B$3,0))</f>
        <v/>
      </c>
      <c r="J193" s="16" t="n"/>
      <c r="K193" s="17">
        <f>IF(I193="","",MAX(0,I193-IF(J193="",0,J193)))</f>
        <v/>
      </c>
      <c r="L193" s="8" t="n"/>
    </row>
    <row r="194">
      <c r="A194" s="15" t="n"/>
      <c r="B194" s="8" t="n"/>
      <c r="C194" s="8" t="n"/>
      <c r="D194" s="8" t="n"/>
      <c r="E194" s="16" t="n"/>
      <c r="F194" s="16" t="n"/>
      <c r="G194" s="17">
        <f>IF(E194="","",E194+IF(F194="",0,F194))</f>
        <v/>
      </c>
      <c r="H194" s="8" t="n"/>
      <c r="I194" s="17">
        <f>IF(E194="","",IF(H194="Vendida",E194*Resumen!$B$3,0))</f>
        <v/>
      </c>
      <c r="J194" s="16" t="n"/>
      <c r="K194" s="17">
        <f>IF(I194="","",MAX(0,I194-IF(J194="",0,J194)))</f>
        <v/>
      </c>
      <c r="L194" s="8" t="n"/>
    </row>
    <row r="195">
      <c r="A195" s="15" t="n"/>
      <c r="B195" s="8" t="n"/>
      <c r="C195" s="8" t="n"/>
      <c r="D195" s="8" t="n"/>
      <c r="E195" s="16" t="n"/>
      <c r="F195" s="16" t="n"/>
      <c r="G195" s="17">
        <f>IF(E195="","",E195+IF(F195="",0,F195))</f>
        <v/>
      </c>
      <c r="H195" s="8" t="n"/>
      <c r="I195" s="17">
        <f>IF(E195="","",IF(H195="Vendida",E195*Resumen!$B$3,0))</f>
        <v/>
      </c>
      <c r="J195" s="16" t="n"/>
      <c r="K195" s="17">
        <f>IF(I195="","",MAX(0,I195-IF(J195="",0,J195)))</f>
        <v/>
      </c>
      <c r="L195" s="8" t="n"/>
    </row>
    <row r="196">
      <c r="A196" s="15" t="n"/>
      <c r="B196" s="8" t="n"/>
      <c r="C196" s="8" t="n"/>
      <c r="D196" s="8" t="n"/>
      <c r="E196" s="16" t="n"/>
      <c r="F196" s="16" t="n"/>
      <c r="G196" s="17">
        <f>IF(E196="","",E196+IF(F196="",0,F196))</f>
        <v/>
      </c>
      <c r="H196" s="8" t="n"/>
      <c r="I196" s="17">
        <f>IF(E196="","",IF(H196="Vendida",E196*Resumen!$B$3,0))</f>
        <v/>
      </c>
      <c r="J196" s="16" t="n"/>
      <c r="K196" s="17">
        <f>IF(I196="","",MAX(0,I196-IF(J196="",0,J196)))</f>
        <v/>
      </c>
      <c r="L196" s="8" t="n"/>
    </row>
    <row r="197">
      <c r="A197" s="15" t="n"/>
      <c r="B197" s="8" t="n"/>
      <c r="C197" s="8" t="n"/>
      <c r="D197" s="8" t="n"/>
      <c r="E197" s="16" t="n"/>
      <c r="F197" s="16" t="n"/>
      <c r="G197" s="17">
        <f>IF(E197="","",E197+IF(F197="",0,F197))</f>
        <v/>
      </c>
      <c r="H197" s="8" t="n"/>
      <c r="I197" s="17">
        <f>IF(E197="","",IF(H197="Vendida",E197*Resumen!$B$3,0))</f>
        <v/>
      </c>
      <c r="J197" s="16" t="n"/>
      <c r="K197" s="17">
        <f>IF(I197="","",MAX(0,I197-IF(J197="",0,J197)))</f>
        <v/>
      </c>
      <c r="L197" s="8" t="n"/>
    </row>
    <row r="198">
      <c r="A198" s="15" t="n"/>
      <c r="B198" s="8" t="n"/>
      <c r="C198" s="8" t="n"/>
      <c r="D198" s="8" t="n"/>
      <c r="E198" s="16" t="n"/>
      <c r="F198" s="16" t="n"/>
      <c r="G198" s="17">
        <f>IF(E198="","",E198+IF(F198="",0,F198))</f>
        <v/>
      </c>
      <c r="H198" s="8" t="n"/>
      <c r="I198" s="17">
        <f>IF(E198="","",IF(H198="Vendida",E198*Resumen!$B$3,0))</f>
        <v/>
      </c>
      <c r="J198" s="16" t="n"/>
      <c r="K198" s="17">
        <f>IF(I198="","",MAX(0,I198-IF(J198="",0,J198)))</f>
        <v/>
      </c>
      <c r="L198" s="8" t="n"/>
    </row>
    <row r="199">
      <c r="A199" s="15" t="n"/>
      <c r="B199" s="8" t="n"/>
      <c r="C199" s="8" t="n"/>
      <c r="D199" s="8" t="n"/>
      <c r="E199" s="16" t="n"/>
      <c r="F199" s="16" t="n"/>
      <c r="G199" s="17">
        <f>IF(E199="","",E199+IF(F199="",0,F199))</f>
        <v/>
      </c>
      <c r="H199" s="8" t="n"/>
      <c r="I199" s="17">
        <f>IF(E199="","",IF(H199="Vendida",E199*Resumen!$B$3,0))</f>
        <v/>
      </c>
      <c r="J199" s="16" t="n"/>
      <c r="K199" s="17">
        <f>IF(I199="","",MAX(0,I199-IF(J199="",0,J199)))</f>
        <v/>
      </c>
      <c r="L199" s="8" t="n"/>
    </row>
    <row r="200">
      <c r="A200" s="15" t="n"/>
      <c r="B200" s="8" t="n"/>
      <c r="C200" s="8" t="n"/>
      <c r="D200" s="8" t="n"/>
      <c r="E200" s="16" t="n"/>
      <c r="F200" s="16" t="n"/>
      <c r="G200" s="17">
        <f>IF(E200="","",E200+IF(F200="",0,F200))</f>
        <v/>
      </c>
      <c r="H200" s="8" t="n"/>
      <c r="I200" s="17">
        <f>IF(E200="","",IF(H200="Vendida",E200*Resumen!$B$3,0))</f>
        <v/>
      </c>
      <c r="J200" s="16" t="n"/>
      <c r="K200" s="17">
        <f>IF(I200="","",MAX(0,I200-IF(J200="",0,J200)))</f>
        <v/>
      </c>
      <c r="L200" s="8" t="n"/>
    </row>
    <row r="201">
      <c r="A201" s="15" t="n"/>
      <c r="B201" s="8" t="n"/>
      <c r="C201" s="8" t="n"/>
      <c r="D201" s="8" t="n"/>
      <c r="E201" s="16" t="n"/>
      <c r="F201" s="16" t="n"/>
      <c r="G201" s="17">
        <f>IF(E201="","",E201+IF(F201="",0,F201))</f>
        <v/>
      </c>
      <c r="H201" s="8" t="n"/>
      <c r="I201" s="17">
        <f>IF(E201="","",IF(H201="Vendida",E201*Resumen!$B$3,0))</f>
        <v/>
      </c>
      <c r="J201" s="16" t="n"/>
      <c r="K201" s="17">
        <f>IF(I201="","",MAX(0,I201-IF(J201="",0,J201)))</f>
        <v/>
      </c>
      <c r="L201" s="8" t="n"/>
    </row>
    <row r="202">
      <c r="A202" s="15" t="n"/>
      <c r="B202" s="8" t="n"/>
      <c r="C202" s="8" t="n"/>
      <c r="D202" s="8" t="n"/>
      <c r="E202" s="16" t="n"/>
      <c r="F202" s="16" t="n"/>
      <c r="G202" s="17">
        <f>IF(E202="","",E202+IF(F202="",0,F202))</f>
        <v/>
      </c>
      <c r="H202" s="8" t="n"/>
      <c r="I202" s="17">
        <f>IF(E202="","",IF(H202="Vendida",E202*Resumen!$B$3,0))</f>
        <v/>
      </c>
      <c r="J202" s="16" t="n"/>
      <c r="K202" s="17">
        <f>IF(I202="","",MAX(0,I202-IF(J202="",0,J202)))</f>
        <v/>
      </c>
      <c r="L202" s="8" t="n"/>
    </row>
    <row r="203">
      <c r="A203" s="15" t="n"/>
      <c r="B203" s="8" t="n"/>
      <c r="C203" s="8" t="n"/>
      <c r="D203" s="8" t="n"/>
      <c r="E203" s="16" t="n"/>
      <c r="F203" s="16" t="n"/>
      <c r="G203" s="17">
        <f>IF(E203="","",E203+IF(F203="",0,F203))</f>
        <v/>
      </c>
      <c r="H203" s="8" t="n"/>
      <c r="I203" s="17">
        <f>IF(E203="","",IF(H203="Vendida",E203*Resumen!$B$3,0))</f>
        <v/>
      </c>
      <c r="J203" s="16" t="n"/>
      <c r="K203" s="17">
        <f>IF(I203="","",MAX(0,I203-IF(J203="",0,J203)))</f>
        <v/>
      </c>
      <c r="L203" s="8" t="n"/>
    </row>
    <row r="204">
      <c r="A204" s="15" t="n"/>
      <c r="B204" s="8" t="n"/>
      <c r="C204" s="8" t="n"/>
      <c r="D204" s="8" t="n"/>
      <c r="E204" s="16" t="n"/>
      <c r="F204" s="16" t="n"/>
      <c r="G204" s="17">
        <f>IF(E204="","",E204+IF(F204="",0,F204))</f>
        <v/>
      </c>
      <c r="H204" s="8" t="n"/>
      <c r="I204" s="17">
        <f>IF(E204="","",IF(H204="Vendida",E204*Resumen!$B$3,0))</f>
        <v/>
      </c>
      <c r="J204" s="16" t="n"/>
      <c r="K204" s="17">
        <f>IF(I204="","",MAX(0,I204-IF(J204="",0,J204)))</f>
        <v/>
      </c>
      <c r="L204" s="8" t="n"/>
    </row>
    <row r="205">
      <c r="A205" s="15" t="n"/>
      <c r="B205" s="8" t="n"/>
      <c r="C205" s="8" t="n"/>
      <c r="D205" s="8" t="n"/>
      <c r="E205" s="16" t="n"/>
      <c r="F205" s="16" t="n"/>
      <c r="G205" s="17">
        <f>IF(E205="","",E205+IF(F205="",0,F205))</f>
        <v/>
      </c>
      <c r="H205" s="8" t="n"/>
      <c r="I205" s="17">
        <f>IF(E205="","",IF(H205="Vendida",E205*Resumen!$B$3,0))</f>
        <v/>
      </c>
      <c r="J205" s="16" t="n"/>
      <c r="K205" s="17">
        <f>IF(I205="","",MAX(0,I205-IF(J205="",0,J205)))</f>
        <v/>
      </c>
      <c r="L205" s="8" t="n"/>
    </row>
    <row r="206">
      <c r="A206" s="15" t="n"/>
      <c r="B206" s="8" t="n"/>
      <c r="C206" s="8" t="n"/>
      <c r="D206" s="8" t="n"/>
      <c r="E206" s="16" t="n"/>
      <c r="F206" s="16" t="n"/>
      <c r="G206" s="17">
        <f>IF(E206="","",E206+IF(F206="",0,F206))</f>
        <v/>
      </c>
      <c r="H206" s="8" t="n"/>
      <c r="I206" s="17">
        <f>IF(E206="","",IF(H206="Vendida",E206*Resumen!$B$3,0))</f>
        <v/>
      </c>
      <c r="J206" s="16" t="n"/>
      <c r="K206" s="17">
        <f>IF(I206="","",MAX(0,I206-IF(J206="",0,J206)))</f>
        <v/>
      </c>
      <c r="L206" s="8" t="n"/>
    </row>
    <row r="207">
      <c r="A207" s="15" t="n"/>
      <c r="B207" s="8" t="n"/>
      <c r="C207" s="8" t="n"/>
      <c r="D207" s="8" t="n"/>
      <c r="E207" s="16" t="n"/>
      <c r="F207" s="16" t="n"/>
      <c r="G207" s="17">
        <f>IF(E207="","",E207+IF(F207="",0,F207))</f>
        <v/>
      </c>
      <c r="H207" s="8" t="n"/>
      <c r="I207" s="17">
        <f>IF(E207="","",IF(H207="Vendida",E207*Resumen!$B$3,0))</f>
        <v/>
      </c>
      <c r="J207" s="16" t="n"/>
      <c r="K207" s="17">
        <f>IF(I207="","",MAX(0,I207-IF(J207="",0,J207)))</f>
        <v/>
      </c>
      <c r="L207" s="8" t="n"/>
    </row>
    <row r="208">
      <c r="A208" s="15" t="n"/>
      <c r="B208" s="8" t="n"/>
      <c r="C208" s="8" t="n"/>
      <c r="D208" s="8" t="n"/>
      <c r="E208" s="16" t="n"/>
      <c r="F208" s="16" t="n"/>
      <c r="G208" s="17">
        <f>IF(E208="","",E208+IF(F208="",0,F208))</f>
        <v/>
      </c>
      <c r="H208" s="8" t="n"/>
      <c r="I208" s="17">
        <f>IF(E208="","",IF(H208="Vendida",E208*Resumen!$B$3,0))</f>
        <v/>
      </c>
      <c r="J208" s="16" t="n"/>
      <c r="K208" s="17">
        <f>IF(I208="","",MAX(0,I208-IF(J208="",0,J208)))</f>
        <v/>
      </c>
      <c r="L208" s="8" t="n"/>
    </row>
    <row r="209">
      <c r="A209" s="15" t="n"/>
      <c r="B209" s="8" t="n"/>
      <c r="C209" s="8" t="n"/>
      <c r="D209" s="8" t="n"/>
      <c r="E209" s="16" t="n"/>
      <c r="F209" s="16" t="n"/>
      <c r="G209" s="17">
        <f>IF(E209="","",E209+IF(F209="",0,F209))</f>
        <v/>
      </c>
      <c r="H209" s="8" t="n"/>
      <c r="I209" s="17">
        <f>IF(E209="","",IF(H209="Vendida",E209*Resumen!$B$3,0))</f>
        <v/>
      </c>
      <c r="J209" s="16" t="n"/>
      <c r="K209" s="17">
        <f>IF(I209="","",MAX(0,I209-IF(J209="",0,J209)))</f>
        <v/>
      </c>
      <c r="L209" s="8" t="n"/>
    </row>
    <row r="210">
      <c r="A210" s="15" t="n"/>
      <c r="B210" s="8" t="n"/>
      <c r="C210" s="8" t="n"/>
      <c r="D210" s="8" t="n"/>
      <c r="E210" s="16" t="n"/>
      <c r="F210" s="16" t="n"/>
      <c r="G210" s="17">
        <f>IF(E210="","",E210+IF(F210="",0,F210))</f>
        <v/>
      </c>
      <c r="H210" s="8" t="n"/>
      <c r="I210" s="17">
        <f>IF(E210="","",IF(H210="Vendida",E210*Resumen!$B$3,0))</f>
        <v/>
      </c>
      <c r="J210" s="16" t="n"/>
      <c r="K210" s="17">
        <f>IF(I210="","",MAX(0,I210-IF(J210="",0,J210)))</f>
        <v/>
      </c>
      <c r="L210" s="8" t="n"/>
    </row>
    <row r="211">
      <c r="A211" s="15" t="n"/>
      <c r="B211" s="8" t="n"/>
      <c r="C211" s="8" t="n"/>
      <c r="D211" s="8" t="n"/>
      <c r="E211" s="16" t="n"/>
      <c r="F211" s="16" t="n"/>
      <c r="G211" s="17">
        <f>IF(E211="","",E211+IF(F211="",0,F211))</f>
        <v/>
      </c>
      <c r="H211" s="8" t="n"/>
      <c r="I211" s="17">
        <f>IF(E211="","",IF(H211="Vendida",E211*Resumen!$B$3,0))</f>
        <v/>
      </c>
      <c r="J211" s="16" t="n"/>
      <c r="K211" s="17">
        <f>IF(I211="","",MAX(0,I211-IF(J211="",0,J211)))</f>
        <v/>
      </c>
      <c r="L211" s="8" t="n"/>
    </row>
    <row r="212">
      <c r="A212" s="15" t="n"/>
      <c r="B212" s="8" t="n"/>
      <c r="C212" s="8" t="n"/>
      <c r="D212" s="8" t="n"/>
      <c r="E212" s="16" t="n"/>
      <c r="F212" s="16" t="n"/>
      <c r="G212" s="17">
        <f>IF(E212="","",E212+IF(F212="",0,F212))</f>
        <v/>
      </c>
      <c r="H212" s="8" t="n"/>
      <c r="I212" s="17">
        <f>IF(E212="","",IF(H212="Vendida",E212*Resumen!$B$3,0))</f>
        <v/>
      </c>
      <c r="J212" s="16" t="n"/>
      <c r="K212" s="17">
        <f>IF(I212="","",MAX(0,I212-IF(J212="",0,J212)))</f>
        <v/>
      </c>
      <c r="L212" s="8" t="n"/>
    </row>
    <row r="213">
      <c r="A213" s="15" t="n"/>
      <c r="B213" s="8" t="n"/>
      <c r="C213" s="8" t="n"/>
      <c r="D213" s="8" t="n"/>
      <c r="E213" s="16" t="n"/>
      <c r="F213" s="16" t="n"/>
      <c r="G213" s="17">
        <f>IF(E213="","",E213+IF(F213="",0,F213))</f>
        <v/>
      </c>
      <c r="H213" s="8" t="n"/>
      <c r="I213" s="17">
        <f>IF(E213="","",IF(H213="Vendida",E213*Resumen!$B$3,0))</f>
        <v/>
      </c>
      <c r="J213" s="16" t="n"/>
      <c r="K213" s="17">
        <f>IF(I213="","",MAX(0,I213-IF(J213="",0,J213)))</f>
        <v/>
      </c>
      <c r="L213" s="8" t="n"/>
    </row>
    <row r="214">
      <c r="A214" s="15" t="n"/>
      <c r="B214" s="8" t="n"/>
      <c r="C214" s="8" t="n"/>
      <c r="D214" s="8" t="n"/>
      <c r="E214" s="16" t="n"/>
      <c r="F214" s="16" t="n"/>
      <c r="G214" s="17">
        <f>IF(E214="","",E214+IF(F214="",0,F214))</f>
        <v/>
      </c>
      <c r="H214" s="8" t="n"/>
      <c r="I214" s="17">
        <f>IF(E214="","",IF(H214="Vendida",E214*Resumen!$B$3,0))</f>
        <v/>
      </c>
      <c r="J214" s="16" t="n"/>
      <c r="K214" s="17">
        <f>IF(I214="","",MAX(0,I214-IF(J214="",0,J214)))</f>
        <v/>
      </c>
      <c r="L214" s="8" t="n"/>
    </row>
    <row r="215">
      <c r="A215" s="15" t="n"/>
      <c r="B215" s="8" t="n"/>
      <c r="C215" s="8" t="n"/>
      <c r="D215" s="8" t="n"/>
      <c r="E215" s="16" t="n"/>
      <c r="F215" s="16" t="n"/>
      <c r="G215" s="17">
        <f>IF(E215="","",E215+IF(F215="",0,F215))</f>
        <v/>
      </c>
      <c r="H215" s="8" t="n"/>
      <c r="I215" s="17">
        <f>IF(E215="","",IF(H215="Vendida",E215*Resumen!$B$3,0))</f>
        <v/>
      </c>
      <c r="J215" s="16" t="n"/>
      <c r="K215" s="17">
        <f>IF(I215="","",MAX(0,I215-IF(J215="",0,J215)))</f>
        <v/>
      </c>
      <c r="L215" s="8" t="n"/>
    </row>
    <row r="216">
      <c r="A216" s="15" t="n"/>
      <c r="B216" s="8" t="n"/>
      <c r="C216" s="8" t="n"/>
      <c r="D216" s="8" t="n"/>
      <c r="E216" s="16" t="n"/>
      <c r="F216" s="16" t="n"/>
      <c r="G216" s="17">
        <f>IF(E216="","",E216+IF(F216="",0,F216))</f>
        <v/>
      </c>
      <c r="H216" s="8" t="n"/>
      <c r="I216" s="17">
        <f>IF(E216="","",IF(H216="Vendida",E216*Resumen!$B$3,0))</f>
        <v/>
      </c>
      <c r="J216" s="16" t="n"/>
      <c r="K216" s="17">
        <f>IF(I216="","",MAX(0,I216-IF(J216="",0,J216)))</f>
        <v/>
      </c>
      <c r="L216" s="8" t="n"/>
    </row>
    <row r="217">
      <c r="A217" s="15" t="n"/>
      <c r="B217" s="8" t="n"/>
      <c r="C217" s="8" t="n"/>
      <c r="D217" s="8" t="n"/>
      <c r="E217" s="16" t="n"/>
      <c r="F217" s="16" t="n"/>
      <c r="G217" s="17">
        <f>IF(E217="","",E217+IF(F217="",0,F217))</f>
        <v/>
      </c>
      <c r="H217" s="8" t="n"/>
      <c r="I217" s="17">
        <f>IF(E217="","",IF(H217="Vendida",E217*Resumen!$B$3,0))</f>
        <v/>
      </c>
      <c r="J217" s="16" t="n"/>
      <c r="K217" s="17">
        <f>IF(I217="","",MAX(0,I217-IF(J217="",0,J217)))</f>
        <v/>
      </c>
      <c r="L217" s="8" t="n"/>
    </row>
    <row r="218">
      <c r="A218" s="15" t="n"/>
      <c r="B218" s="8" t="n"/>
      <c r="C218" s="8" t="n"/>
      <c r="D218" s="8" t="n"/>
      <c r="E218" s="16" t="n"/>
      <c r="F218" s="16" t="n"/>
      <c r="G218" s="17">
        <f>IF(E218="","",E218+IF(F218="",0,F218))</f>
        <v/>
      </c>
      <c r="H218" s="8" t="n"/>
      <c r="I218" s="17">
        <f>IF(E218="","",IF(H218="Vendida",E218*Resumen!$B$3,0))</f>
        <v/>
      </c>
      <c r="J218" s="16" t="n"/>
      <c r="K218" s="17">
        <f>IF(I218="","",MAX(0,I218-IF(J218="",0,J218)))</f>
        <v/>
      </c>
      <c r="L218" s="8" t="n"/>
    </row>
    <row r="219">
      <c r="A219" s="15" t="n"/>
      <c r="B219" s="8" t="n"/>
      <c r="C219" s="8" t="n"/>
      <c r="D219" s="8" t="n"/>
      <c r="E219" s="16" t="n"/>
      <c r="F219" s="16" t="n"/>
      <c r="G219" s="17">
        <f>IF(E219="","",E219+IF(F219="",0,F219))</f>
        <v/>
      </c>
      <c r="H219" s="8" t="n"/>
      <c r="I219" s="17">
        <f>IF(E219="","",IF(H219="Vendida",E219*Resumen!$B$3,0))</f>
        <v/>
      </c>
      <c r="J219" s="16" t="n"/>
      <c r="K219" s="17">
        <f>IF(I219="","",MAX(0,I219-IF(J219="",0,J219)))</f>
        <v/>
      </c>
      <c r="L219" s="8" t="n"/>
    </row>
    <row r="220">
      <c r="A220" s="15" t="n"/>
      <c r="B220" s="8" t="n"/>
      <c r="C220" s="8" t="n"/>
      <c r="D220" s="8" t="n"/>
      <c r="E220" s="16" t="n"/>
      <c r="F220" s="16" t="n"/>
      <c r="G220" s="17">
        <f>IF(E220="","",E220+IF(F220="",0,F220))</f>
        <v/>
      </c>
      <c r="H220" s="8" t="n"/>
      <c r="I220" s="17">
        <f>IF(E220="","",IF(H220="Vendida",E220*Resumen!$B$3,0))</f>
        <v/>
      </c>
      <c r="J220" s="16" t="n"/>
      <c r="K220" s="17">
        <f>IF(I220="","",MAX(0,I220-IF(J220="",0,J220)))</f>
        <v/>
      </c>
      <c r="L220" s="8" t="n"/>
    </row>
    <row r="221">
      <c r="A221" s="15" t="n"/>
      <c r="B221" s="8" t="n"/>
      <c r="C221" s="8" t="n"/>
      <c r="D221" s="8" t="n"/>
      <c r="E221" s="16" t="n"/>
      <c r="F221" s="16" t="n"/>
      <c r="G221" s="17">
        <f>IF(E221="","",E221+IF(F221="",0,F221))</f>
        <v/>
      </c>
      <c r="H221" s="8" t="n"/>
      <c r="I221" s="17">
        <f>IF(E221="","",IF(H221="Vendida",E221*Resumen!$B$3,0))</f>
        <v/>
      </c>
      <c r="J221" s="16" t="n"/>
      <c r="K221" s="17">
        <f>IF(I221="","",MAX(0,I221-IF(J221="",0,J221)))</f>
        <v/>
      </c>
      <c r="L221" s="8" t="n"/>
    </row>
    <row r="222">
      <c r="A222" s="15" t="n"/>
      <c r="B222" s="8" t="n"/>
      <c r="C222" s="8" t="n"/>
      <c r="D222" s="8" t="n"/>
      <c r="E222" s="16" t="n"/>
      <c r="F222" s="16" t="n"/>
      <c r="G222" s="17">
        <f>IF(E222="","",E222+IF(F222="",0,F222))</f>
        <v/>
      </c>
      <c r="H222" s="8" t="n"/>
      <c r="I222" s="17">
        <f>IF(E222="","",IF(H222="Vendida",E222*Resumen!$B$3,0))</f>
        <v/>
      </c>
      <c r="J222" s="16" t="n"/>
      <c r="K222" s="17">
        <f>IF(I222="","",MAX(0,I222-IF(J222="",0,J222)))</f>
        <v/>
      </c>
      <c r="L222" s="8" t="n"/>
    </row>
    <row r="223">
      <c r="A223" s="15" t="n"/>
      <c r="B223" s="8" t="n"/>
      <c r="C223" s="8" t="n"/>
      <c r="D223" s="8" t="n"/>
      <c r="E223" s="16" t="n"/>
      <c r="F223" s="16" t="n"/>
      <c r="G223" s="17">
        <f>IF(E223="","",E223+IF(F223="",0,F223))</f>
        <v/>
      </c>
      <c r="H223" s="8" t="n"/>
      <c r="I223" s="17">
        <f>IF(E223="","",IF(H223="Vendida",E223*Resumen!$B$3,0))</f>
        <v/>
      </c>
      <c r="J223" s="16" t="n"/>
      <c r="K223" s="17">
        <f>IF(I223="","",MAX(0,I223-IF(J223="",0,J223)))</f>
        <v/>
      </c>
      <c r="L223" s="8" t="n"/>
    </row>
    <row r="224">
      <c r="A224" s="15" t="n"/>
      <c r="B224" s="8" t="n"/>
      <c r="C224" s="8" t="n"/>
      <c r="D224" s="8" t="n"/>
      <c r="E224" s="16" t="n"/>
      <c r="F224" s="16" t="n"/>
      <c r="G224" s="17">
        <f>IF(E224="","",E224+IF(F224="",0,F224))</f>
        <v/>
      </c>
      <c r="H224" s="8" t="n"/>
      <c r="I224" s="17">
        <f>IF(E224="","",IF(H224="Vendida",E224*Resumen!$B$3,0))</f>
        <v/>
      </c>
      <c r="J224" s="16" t="n"/>
      <c r="K224" s="17">
        <f>IF(I224="","",MAX(0,I224-IF(J224="",0,J224)))</f>
        <v/>
      </c>
      <c r="L224" s="8" t="n"/>
    </row>
    <row r="225">
      <c r="A225" s="15" t="n"/>
      <c r="B225" s="8" t="n"/>
      <c r="C225" s="8" t="n"/>
      <c r="D225" s="8" t="n"/>
      <c r="E225" s="16" t="n"/>
      <c r="F225" s="16" t="n"/>
      <c r="G225" s="17">
        <f>IF(E225="","",E225+IF(F225="",0,F225))</f>
        <v/>
      </c>
      <c r="H225" s="8" t="n"/>
      <c r="I225" s="17">
        <f>IF(E225="","",IF(H225="Vendida",E225*Resumen!$B$3,0))</f>
        <v/>
      </c>
      <c r="J225" s="16" t="n"/>
      <c r="K225" s="17">
        <f>IF(I225="","",MAX(0,I225-IF(J225="",0,J225)))</f>
        <v/>
      </c>
      <c r="L225" s="8" t="n"/>
    </row>
    <row r="226">
      <c r="A226" s="15" t="n"/>
      <c r="B226" s="8" t="n"/>
      <c r="C226" s="8" t="n"/>
      <c r="D226" s="8" t="n"/>
      <c r="E226" s="16" t="n"/>
      <c r="F226" s="16" t="n"/>
      <c r="G226" s="17">
        <f>IF(E226="","",E226+IF(F226="",0,F226))</f>
        <v/>
      </c>
      <c r="H226" s="8" t="n"/>
      <c r="I226" s="17">
        <f>IF(E226="","",IF(H226="Vendida",E226*Resumen!$B$3,0))</f>
        <v/>
      </c>
      <c r="J226" s="16" t="n"/>
      <c r="K226" s="17">
        <f>IF(I226="","",MAX(0,I226-IF(J226="",0,J226)))</f>
        <v/>
      </c>
      <c r="L226" s="8" t="n"/>
    </row>
    <row r="227">
      <c r="A227" s="15" t="n"/>
      <c r="B227" s="8" t="n"/>
      <c r="C227" s="8" t="n"/>
      <c r="D227" s="8" t="n"/>
      <c r="E227" s="16" t="n"/>
      <c r="F227" s="16" t="n"/>
      <c r="G227" s="17">
        <f>IF(E227="","",E227+IF(F227="",0,F227))</f>
        <v/>
      </c>
      <c r="H227" s="8" t="n"/>
      <c r="I227" s="17">
        <f>IF(E227="","",IF(H227="Vendida",E227*Resumen!$B$3,0))</f>
        <v/>
      </c>
      <c r="J227" s="16" t="n"/>
      <c r="K227" s="17">
        <f>IF(I227="","",MAX(0,I227-IF(J227="",0,J227)))</f>
        <v/>
      </c>
      <c r="L227" s="8" t="n"/>
    </row>
    <row r="228">
      <c r="A228" s="15" t="n"/>
      <c r="B228" s="8" t="n"/>
      <c r="C228" s="8" t="n"/>
      <c r="D228" s="8" t="n"/>
      <c r="E228" s="16" t="n"/>
      <c r="F228" s="16" t="n"/>
      <c r="G228" s="17">
        <f>IF(E228="","",E228+IF(F228="",0,F228))</f>
        <v/>
      </c>
      <c r="H228" s="8" t="n"/>
      <c r="I228" s="17">
        <f>IF(E228="","",IF(H228="Vendida",E228*Resumen!$B$3,0))</f>
        <v/>
      </c>
      <c r="J228" s="16" t="n"/>
      <c r="K228" s="17">
        <f>IF(I228="","",MAX(0,I228-IF(J228="",0,J228)))</f>
        <v/>
      </c>
      <c r="L228" s="8" t="n"/>
    </row>
    <row r="229">
      <c r="A229" s="15" t="n"/>
      <c r="B229" s="8" t="n"/>
      <c r="C229" s="8" t="n"/>
      <c r="D229" s="8" t="n"/>
      <c r="E229" s="16" t="n"/>
      <c r="F229" s="16" t="n"/>
      <c r="G229" s="17">
        <f>IF(E229="","",E229+IF(F229="",0,F229))</f>
        <v/>
      </c>
      <c r="H229" s="8" t="n"/>
      <c r="I229" s="17">
        <f>IF(E229="","",IF(H229="Vendida",E229*Resumen!$B$3,0))</f>
        <v/>
      </c>
      <c r="J229" s="16" t="n"/>
      <c r="K229" s="17">
        <f>IF(I229="","",MAX(0,I229-IF(J229="",0,J229)))</f>
        <v/>
      </c>
      <c r="L229" s="8" t="n"/>
    </row>
    <row r="230">
      <c r="A230" s="15" t="n"/>
      <c r="B230" s="8" t="n"/>
      <c r="C230" s="8" t="n"/>
      <c r="D230" s="8" t="n"/>
      <c r="E230" s="16" t="n"/>
      <c r="F230" s="16" t="n"/>
      <c r="G230" s="17">
        <f>IF(E230="","",E230+IF(F230="",0,F230))</f>
        <v/>
      </c>
      <c r="H230" s="8" t="n"/>
      <c r="I230" s="17">
        <f>IF(E230="","",IF(H230="Vendida",E230*Resumen!$B$3,0))</f>
        <v/>
      </c>
      <c r="J230" s="16" t="n"/>
      <c r="K230" s="17">
        <f>IF(I230="","",MAX(0,I230-IF(J230="",0,J230)))</f>
        <v/>
      </c>
      <c r="L230" s="8" t="n"/>
    </row>
    <row r="231">
      <c r="A231" s="15" t="n"/>
      <c r="B231" s="8" t="n"/>
      <c r="C231" s="8" t="n"/>
      <c r="D231" s="8" t="n"/>
      <c r="E231" s="16" t="n"/>
      <c r="F231" s="16" t="n"/>
      <c r="G231" s="17">
        <f>IF(E231="","",E231+IF(F231="",0,F231))</f>
        <v/>
      </c>
      <c r="H231" s="8" t="n"/>
      <c r="I231" s="17">
        <f>IF(E231="","",IF(H231="Vendida",E231*Resumen!$B$3,0))</f>
        <v/>
      </c>
      <c r="J231" s="16" t="n"/>
      <c r="K231" s="17">
        <f>IF(I231="","",MAX(0,I231-IF(J231="",0,J231)))</f>
        <v/>
      </c>
      <c r="L231" s="8" t="n"/>
    </row>
    <row r="232">
      <c r="A232" s="15" t="n"/>
      <c r="B232" s="8" t="n"/>
      <c r="C232" s="8" t="n"/>
      <c r="D232" s="8" t="n"/>
      <c r="E232" s="16" t="n"/>
      <c r="F232" s="16" t="n"/>
      <c r="G232" s="17">
        <f>IF(E232="","",E232+IF(F232="",0,F232))</f>
        <v/>
      </c>
      <c r="H232" s="8" t="n"/>
      <c r="I232" s="17">
        <f>IF(E232="","",IF(H232="Vendida",E232*Resumen!$B$3,0))</f>
        <v/>
      </c>
      <c r="J232" s="16" t="n"/>
      <c r="K232" s="17">
        <f>IF(I232="","",MAX(0,I232-IF(J232="",0,J232)))</f>
        <v/>
      </c>
      <c r="L232" s="8" t="n"/>
    </row>
    <row r="233">
      <c r="A233" s="15" t="n"/>
      <c r="B233" s="8" t="n"/>
      <c r="C233" s="8" t="n"/>
      <c r="D233" s="8" t="n"/>
      <c r="E233" s="16" t="n"/>
      <c r="F233" s="16" t="n"/>
      <c r="G233" s="17">
        <f>IF(E233="","",E233+IF(F233="",0,F233))</f>
        <v/>
      </c>
      <c r="H233" s="8" t="n"/>
      <c r="I233" s="17">
        <f>IF(E233="","",IF(H233="Vendida",E233*Resumen!$B$3,0))</f>
        <v/>
      </c>
      <c r="J233" s="16" t="n"/>
      <c r="K233" s="17">
        <f>IF(I233="","",MAX(0,I233-IF(J233="",0,J233)))</f>
        <v/>
      </c>
      <c r="L233" s="8" t="n"/>
    </row>
    <row r="234">
      <c r="A234" s="15" t="n"/>
      <c r="B234" s="8" t="n"/>
      <c r="C234" s="8" t="n"/>
      <c r="D234" s="8" t="n"/>
      <c r="E234" s="16" t="n"/>
      <c r="F234" s="16" t="n"/>
      <c r="G234" s="17">
        <f>IF(E234="","",E234+IF(F234="",0,F234))</f>
        <v/>
      </c>
      <c r="H234" s="8" t="n"/>
      <c r="I234" s="17">
        <f>IF(E234="","",IF(H234="Vendida",E234*Resumen!$B$3,0))</f>
        <v/>
      </c>
      <c r="J234" s="16" t="n"/>
      <c r="K234" s="17">
        <f>IF(I234="","",MAX(0,I234-IF(J234="",0,J234)))</f>
        <v/>
      </c>
      <c r="L234" s="8" t="n"/>
    </row>
    <row r="235">
      <c r="A235" s="15" t="n"/>
      <c r="B235" s="8" t="n"/>
      <c r="C235" s="8" t="n"/>
      <c r="D235" s="8" t="n"/>
      <c r="E235" s="16" t="n"/>
      <c r="F235" s="16" t="n"/>
      <c r="G235" s="17">
        <f>IF(E235="","",E235+IF(F235="",0,F235))</f>
        <v/>
      </c>
      <c r="H235" s="8" t="n"/>
      <c r="I235" s="17">
        <f>IF(E235="","",IF(H235="Vendida",E235*Resumen!$B$3,0))</f>
        <v/>
      </c>
      <c r="J235" s="16" t="n"/>
      <c r="K235" s="17">
        <f>IF(I235="","",MAX(0,I235-IF(J235="",0,J235)))</f>
        <v/>
      </c>
      <c r="L235" s="8" t="n"/>
    </row>
    <row r="236">
      <c r="A236" s="15" t="n"/>
      <c r="B236" s="8" t="n"/>
      <c r="C236" s="8" t="n"/>
      <c r="D236" s="8" t="n"/>
      <c r="E236" s="16" t="n"/>
      <c r="F236" s="16" t="n"/>
      <c r="G236" s="17">
        <f>IF(E236="","",E236+IF(F236="",0,F236))</f>
        <v/>
      </c>
      <c r="H236" s="8" t="n"/>
      <c r="I236" s="17">
        <f>IF(E236="","",IF(H236="Vendida",E236*Resumen!$B$3,0))</f>
        <v/>
      </c>
      <c r="J236" s="16" t="n"/>
      <c r="K236" s="17">
        <f>IF(I236="","",MAX(0,I236-IF(J236="",0,J236)))</f>
        <v/>
      </c>
      <c r="L236" s="8" t="n"/>
    </row>
    <row r="237">
      <c r="A237" s="15" t="n"/>
      <c r="B237" s="8" t="n"/>
      <c r="C237" s="8" t="n"/>
      <c r="D237" s="8" t="n"/>
      <c r="E237" s="16" t="n"/>
      <c r="F237" s="16" t="n"/>
      <c r="G237" s="17">
        <f>IF(E237="","",E237+IF(F237="",0,F237))</f>
        <v/>
      </c>
      <c r="H237" s="8" t="n"/>
      <c r="I237" s="17">
        <f>IF(E237="","",IF(H237="Vendida",E237*Resumen!$B$3,0))</f>
        <v/>
      </c>
      <c r="J237" s="16" t="n"/>
      <c r="K237" s="17">
        <f>IF(I237="","",MAX(0,I237-IF(J237="",0,J237)))</f>
        <v/>
      </c>
      <c r="L237" s="8" t="n"/>
    </row>
    <row r="238">
      <c r="A238" s="15" t="n"/>
      <c r="B238" s="8" t="n"/>
      <c r="C238" s="8" t="n"/>
      <c r="D238" s="8" t="n"/>
      <c r="E238" s="16" t="n"/>
      <c r="F238" s="16" t="n"/>
      <c r="G238" s="17">
        <f>IF(E238="","",E238+IF(F238="",0,F238))</f>
        <v/>
      </c>
      <c r="H238" s="8" t="n"/>
      <c r="I238" s="17">
        <f>IF(E238="","",IF(H238="Vendida",E238*Resumen!$B$3,0))</f>
        <v/>
      </c>
      <c r="J238" s="16" t="n"/>
      <c r="K238" s="17">
        <f>IF(I238="","",MAX(0,I238-IF(J238="",0,J238)))</f>
        <v/>
      </c>
      <c r="L238" s="8" t="n"/>
    </row>
    <row r="239">
      <c r="A239" s="15" t="n"/>
      <c r="B239" s="8" t="n"/>
      <c r="C239" s="8" t="n"/>
      <c r="D239" s="8" t="n"/>
      <c r="E239" s="16" t="n"/>
      <c r="F239" s="16" t="n"/>
      <c r="G239" s="17">
        <f>IF(E239="","",E239+IF(F239="",0,F239))</f>
        <v/>
      </c>
      <c r="H239" s="8" t="n"/>
      <c r="I239" s="17">
        <f>IF(E239="","",IF(H239="Vendida",E239*Resumen!$B$3,0))</f>
        <v/>
      </c>
      <c r="J239" s="16" t="n"/>
      <c r="K239" s="17">
        <f>IF(I239="","",MAX(0,I239-IF(J239="",0,J239)))</f>
        <v/>
      </c>
      <c r="L239" s="8" t="n"/>
    </row>
    <row r="240">
      <c r="A240" s="15" t="n"/>
      <c r="B240" s="8" t="n"/>
      <c r="C240" s="8" t="n"/>
      <c r="D240" s="8" t="n"/>
      <c r="E240" s="16" t="n"/>
      <c r="F240" s="16" t="n"/>
      <c r="G240" s="17">
        <f>IF(E240="","",E240+IF(F240="",0,F240))</f>
        <v/>
      </c>
      <c r="H240" s="8" t="n"/>
      <c r="I240" s="17">
        <f>IF(E240="","",IF(H240="Vendida",E240*Resumen!$B$3,0))</f>
        <v/>
      </c>
      <c r="J240" s="16" t="n"/>
      <c r="K240" s="17">
        <f>IF(I240="","",MAX(0,I240-IF(J240="",0,J240)))</f>
        <v/>
      </c>
      <c r="L240" s="8" t="n"/>
    </row>
    <row r="241">
      <c r="A241" s="15" t="n"/>
      <c r="B241" s="8" t="n"/>
      <c r="C241" s="8" t="n"/>
      <c r="D241" s="8" t="n"/>
      <c r="E241" s="16" t="n"/>
      <c r="F241" s="16" t="n"/>
      <c r="G241" s="17">
        <f>IF(E241="","",E241+IF(F241="",0,F241))</f>
        <v/>
      </c>
      <c r="H241" s="8" t="n"/>
      <c r="I241" s="17">
        <f>IF(E241="","",IF(H241="Vendida",E241*Resumen!$B$3,0))</f>
        <v/>
      </c>
      <c r="J241" s="16" t="n"/>
      <c r="K241" s="17">
        <f>IF(I241="","",MAX(0,I241-IF(J241="",0,J241)))</f>
        <v/>
      </c>
      <c r="L241" s="8" t="n"/>
    </row>
    <row r="242">
      <c r="A242" s="15" t="n"/>
      <c r="B242" s="8" t="n"/>
      <c r="C242" s="8" t="n"/>
      <c r="D242" s="8" t="n"/>
      <c r="E242" s="16" t="n"/>
      <c r="F242" s="16" t="n"/>
      <c r="G242" s="17">
        <f>IF(E242="","",E242+IF(F242="",0,F242))</f>
        <v/>
      </c>
      <c r="H242" s="8" t="n"/>
      <c r="I242" s="17">
        <f>IF(E242="","",IF(H242="Vendida",E242*Resumen!$B$3,0))</f>
        <v/>
      </c>
      <c r="J242" s="16" t="n"/>
      <c r="K242" s="17">
        <f>IF(I242="","",MAX(0,I242-IF(J242="",0,J242)))</f>
        <v/>
      </c>
      <c r="L242" s="8" t="n"/>
    </row>
    <row r="243">
      <c r="A243" s="15" t="n"/>
      <c r="B243" s="8" t="n"/>
      <c r="C243" s="8" t="n"/>
      <c r="D243" s="8" t="n"/>
      <c r="E243" s="16" t="n"/>
      <c r="F243" s="16" t="n"/>
      <c r="G243" s="17">
        <f>IF(E243="","",E243+IF(F243="",0,F243))</f>
        <v/>
      </c>
      <c r="H243" s="8" t="n"/>
      <c r="I243" s="17">
        <f>IF(E243="","",IF(H243="Vendida",E243*Resumen!$B$3,0))</f>
        <v/>
      </c>
      <c r="J243" s="16" t="n"/>
      <c r="K243" s="17">
        <f>IF(I243="","",MAX(0,I243-IF(J243="",0,J243)))</f>
        <v/>
      </c>
      <c r="L243" s="8" t="n"/>
    </row>
    <row r="244">
      <c r="A244" s="15" t="n"/>
      <c r="B244" s="8" t="n"/>
      <c r="C244" s="8" t="n"/>
      <c r="D244" s="8" t="n"/>
      <c r="E244" s="16" t="n"/>
      <c r="F244" s="16" t="n"/>
      <c r="G244" s="17">
        <f>IF(E244="","",E244+IF(F244="",0,F244))</f>
        <v/>
      </c>
      <c r="H244" s="8" t="n"/>
      <c r="I244" s="17">
        <f>IF(E244="","",IF(H244="Vendida",E244*Resumen!$B$3,0))</f>
        <v/>
      </c>
      <c r="J244" s="16" t="n"/>
      <c r="K244" s="17">
        <f>IF(I244="","",MAX(0,I244-IF(J244="",0,J244)))</f>
        <v/>
      </c>
      <c r="L244" s="8" t="n"/>
    </row>
    <row r="245">
      <c r="A245" s="15" t="n"/>
      <c r="B245" s="8" t="n"/>
      <c r="C245" s="8" t="n"/>
      <c r="D245" s="8" t="n"/>
      <c r="E245" s="16" t="n"/>
      <c r="F245" s="16" t="n"/>
      <c r="G245" s="17">
        <f>IF(E245="","",E245+IF(F245="",0,F245))</f>
        <v/>
      </c>
      <c r="H245" s="8" t="n"/>
      <c r="I245" s="17">
        <f>IF(E245="","",IF(H245="Vendida",E245*Resumen!$B$3,0))</f>
        <v/>
      </c>
      <c r="J245" s="16" t="n"/>
      <c r="K245" s="17">
        <f>IF(I245="","",MAX(0,I245-IF(J245="",0,J245)))</f>
        <v/>
      </c>
      <c r="L245" s="8" t="n"/>
    </row>
    <row r="246">
      <c r="A246" s="15" t="n"/>
      <c r="B246" s="8" t="n"/>
      <c r="C246" s="8" t="n"/>
      <c r="D246" s="8" t="n"/>
      <c r="E246" s="16" t="n"/>
      <c r="F246" s="16" t="n"/>
      <c r="G246" s="17">
        <f>IF(E246="","",E246+IF(F246="",0,F246))</f>
        <v/>
      </c>
      <c r="H246" s="8" t="n"/>
      <c r="I246" s="17">
        <f>IF(E246="","",IF(H246="Vendida",E246*Resumen!$B$3,0))</f>
        <v/>
      </c>
      <c r="J246" s="16" t="n"/>
      <c r="K246" s="17">
        <f>IF(I246="","",MAX(0,I246-IF(J246="",0,J246)))</f>
        <v/>
      </c>
      <c r="L246" s="8" t="n"/>
    </row>
    <row r="247">
      <c r="A247" s="15" t="n"/>
      <c r="B247" s="8" t="n"/>
      <c r="C247" s="8" t="n"/>
      <c r="D247" s="8" t="n"/>
      <c r="E247" s="16" t="n"/>
      <c r="F247" s="16" t="n"/>
      <c r="G247" s="17">
        <f>IF(E247="","",E247+IF(F247="",0,F247))</f>
        <v/>
      </c>
      <c r="H247" s="8" t="n"/>
      <c r="I247" s="17">
        <f>IF(E247="","",IF(H247="Vendida",E247*Resumen!$B$3,0))</f>
        <v/>
      </c>
      <c r="J247" s="16" t="n"/>
      <c r="K247" s="17">
        <f>IF(I247="","",MAX(0,I247-IF(J247="",0,J247)))</f>
        <v/>
      </c>
      <c r="L247" s="8" t="n"/>
    </row>
    <row r="248">
      <c r="A248" s="15" t="n"/>
      <c r="B248" s="8" t="n"/>
      <c r="C248" s="8" t="n"/>
      <c r="D248" s="8" t="n"/>
      <c r="E248" s="16" t="n"/>
      <c r="F248" s="16" t="n"/>
      <c r="G248" s="17">
        <f>IF(E248="","",E248+IF(F248="",0,F248))</f>
        <v/>
      </c>
      <c r="H248" s="8" t="n"/>
      <c r="I248" s="17">
        <f>IF(E248="","",IF(H248="Vendida",E248*Resumen!$B$3,0))</f>
        <v/>
      </c>
      <c r="J248" s="16" t="n"/>
      <c r="K248" s="17">
        <f>IF(I248="","",MAX(0,I248-IF(J248="",0,J248)))</f>
        <v/>
      </c>
      <c r="L248" s="8" t="n"/>
    </row>
    <row r="249">
      <c r="A249" s="15" t="n"/>
      <c r="B249" s="8" t="n"/>
      <c r="C249" s="8" t="n"/>
      <c r="D249" s="8" t="n"/>
      <c r="E249" s="16" t="n"/>
      <c r="F249" s="16" t="n"/>
      <c r="G249" s="17">
        <f>IF(E249="","",E249+IF(F249="",0,F249))</f>
        <v/>
      </c>
      <c r="H249" s="8" t="n"/>
      <c r="I249" s="17">
        <f>IF(E249="","",IF(H249="Vendida",E249*Resumen!$B$3,0))</f>
        <v/>
      </c>
      <c r="J249" s="16" t="n"/>
      <c r="K249" s="17">
        <f>IF(I249="","",MAX(0,I249-IF(J249="",0,J249)))</f>
        <v/>
      </c>
      <c r="L249" s="8" t="n"/>
    </row>
    <row r="250">
      <c r="A250" s="15" t="n"/>
      <c r="B250" s="8" t="n"/>
      <c r="C250" s="8" t="n"/>
      <c r="D250" s="8" t="n"/>
      <c r="E250" s="16" t="n"/>
      <c r="F250" s="16" t="n"/>
      <c r="G250" s="17">
        <f>IF(E250="","",E250+IF(F250="",0,F250))</f>
        <v/>
      </c>
      <c r="H250" s="8" t="n"/>
      <c r="I250" s="17">
        <f>IF(E250="","",IF(H250="Vendida",E250*Resumen!$B$3,0))</f>
        <v/>
      </c>
      <c r="J250" s="16" t="n"/>
      <c r="K250" s="17">
        <f>IF(I250="","",MAX(0,I250-IF(J250="",0,J250)))</f>
        <v/>
      </c>
      <c r="L250" s="8" t="n"/>
    </row>
    <row r="251">
      <c r="A251" s="15" t="n"/>
      <c r="B251" s="8" t="n"/>
      <c r="C251" s="8" t="n"/>
      <c r="D251" s="8" t="n"/>
      <c r="E251" s="16" t="n"/>
      <c r="F251" s="16" t="n"/>
      <c r="G251" s="17">
        <f>IF(E251="","",E251+IF(F251="",0,F251))</f>
        <v/>
      </c>
      <c r="H251" s="8" t="n"/>
      <c r="I251" s="17">
        <f>IF(E251="","",IF(H251="Vendida",E251*Resumen!$B$3,0))</f>
        <v/>
      </c>
      <c r="J251" s="16" t="n"/>
      <c r="K251" s="17">
        <f>IF(I251="","",MAX(0,I251-IF(J251="",0,J251)))</f>
        <v/>
      </c>
      <c r="L251" s="8" t="n"/>
    </row>
    <row r="252">
      <c r="A252" s="15" t="n"/>
      <c r="B252" s="8" t="n"/>
      <c r="C252" s="8" t="n"/>
      <c r="D252" s="8" t="n"/>
      <c r="E252" s="16" t="n"/>
      <c r="F252" s="16" t="n"/>
      <c r="G252" s="17">
        <f>IF(E252="","",E252+IF(F252="",0,F252))</f>
        <v/>
      </c>
      <c r="H252" s="8" t="n"/>
      <c r="I252" s="17">
        <f>IF(E252="","",IF(H252="Vendida",E252*Resumen!$B$3,0))</f>
        <v/>
      </c>
      <c r="J252" s="16" t="n"/>
      <c r="K252" s="17">
        <f>IF(I252="","",MAX(0,I252-IF(J252="",0,J252)))</f>
        <v/>
      </c>
      <c r="L252" s="8" t="n"/>
    </row>
    <row r="253">
      <c r="A253" s="15" t="n"/>
      <c r="B253" s="8" t="n"/>
      <c r="C253" s="8" t="n"/>
      <c r="D253" s="8" t="n"/>
      <c r="E253" s="16" t="n"/>
      <c r="F253" s="16" t="n"/>
      <c r="G253" s="17">
        <f>IF(E253="","",E253+IF(F253="",0,F253))</f>
        <v/>
      </c>
      <c r="H253" s="8" t="n"/>
      <c r="I253" s="17">
        <f>IF(E253="","",IF(H253="Vendida",E253*Resumen!$B$3,0))</f>
        <v/>
      </c>
      <c r="J253" s="16" t="n"/>
      <c r="K253" s="17">
        <f>IF(I253="","",MAX(0,I253-IF(J253="",0,J253)))</f>
        <v/>
      </c>
      <c r="L253" s="8" t="n"/>
    </row>
    <row r="254">
      <c r="A254" s="15" t="n"/>
      <c r="B254" s="8" t="n"/>
      <c r="C254" s="8" t="n"/>
      <c r="D254" s="8" t="n"/>
      <c r="E254" s="16" t="n"/>
      <c r="F254" s="16" t="n"/>
      <c r="G254" s="17">
        <f>IF(E254="","",E254+IF(F254="",0,F254))</f>
        <v/>
      </c>
      <c r="H254" s="8" t="n"/>
      <c r="I254" s="17">
        <f>IF(E254="","",IF(H254="Vendida",E254*Resumen!$B$3,0))</f>
        <v/>
      </c>
      <c r="J254" s="16" t="n"/>
      <c r="K254" s="17">
        <f>IF(I254="","",MAX(0,I254-IF(J254="",0,J254)))</f>
        <v/>
      </c>
      <c r="L254" s="8" t="n"/>
    </row>
    <row r="255">
      <c r="A255" s="15" t="n"/>
      <c r="B255" s="8" t="n"/>
      <c r="C255" s="8" t="n"/>
      <c r="D255" s="8" t="n"/>
      <c r="E255" s="16" t="n"/>
      <c r="F255" s="16" t="n"/>
      <c r="G255" s="17">
        <f>IF(E255="","",E255+IF(F255="",0,F255))</f>
        <v/>
      </c>
      <c r="H255" s="8" t="n"/>
      <c r="I255" s="17">
        <f>IF(E255="","",IF(H255="Vendida",E255*Resumen!$B$3,0))</f>
        <v/>
      </c>
      <c r="J255" s="16" t="n"/>
      <c r="K255" s="17">
        <f>IF(I255="","",MAX(0,I255-IF(J255="",0,J255)))</f>
        <v/>
      </c>
      <c r="L255" s="8" t="n"/>
    </row>
    <row r="256">
      <c r="A256" s="15" t="n"/>
      <c r="B256" s="8" t="n"/>
      <c r="C256" s="8" t="n"/>
      <c r="D256" s="8" t="n"/>
      <c r="E256" s="16" t="n"/>
      <c r="F256" s="16" t="n"/>
      <c r="G256" s="17">
        <f>IF(E256="","",E256+IF(F256="",0,F256))</f>
        <v/>
      </c>
      <c r="H256" s="8" t="n"/>
      <c r="I256" s="17">
        <f>IF(E256="","",IF(H256="Vendida",E256*Resumen!$B$3,0))</f>
        <v/>
      </c>
      <c r="J256" s="16" t="n"/>
      <c r="K256" s="17">
        <f>IF(I256="","",MAX(0,I256-IF(J256="",0,J256)))</f>
        <v/>
      </c>
      <c r="L256" s="8" t="n"/>
    </row>
    <row r="257">
      <c r="A257" s="15" t="n"/>
      <c r="B257" s="8" t="n"/>
      <c r="C257" s="8" t="n"/>
      <c r="D257" s="8" t="n"/>
      <c r="E257" s="16" t="n"/>
      <c r="F257" s="16" t="n"/>
      <c r="G257" s="17">
        <f>IF(E257="","",E257+IF(F257="",0,F257))</f>
        <v/>
      </c>
      <c r="H257" s="8" t="n"/>
      <c r="I257" s="17">
        <f>IF(E257="","",IF(H257="Vendida",E257*Resumen!$B$3,0))</f>
        <v/>
      </c>
      <c r="J257" s="16" t="n"/>
      <c r="K257" s="17">
        <f>IF(I257="","",MAX(0,I257-IF(J257="",0,J257)))</f>
        <v/>
      </c>
      <c r="L257" s="8" t="n"/>
    </row>
    <row r="258">
      <c r="A258" s="15" t="n"/>
      <c r="B258" s="8" t="n"/>
      <c r="C258" s="8" t="n"/>
      <c r="D258" s="8" t="n"/>
      <c r="E258" s="16" t="n"/>
      <c r="F258" s="16" t="n"/>
      <c r="G258" s="17">
        <f>IF(E258="","",E258+IF(F258="",0,F258))</f>
        <v/>
      </c>
      <c r="H258" s="8" t="n"/>
      <c r="I258" s="17">
        <f>IF(E258="","",IF(H258="Vendida",E258*Resumen!$B$3,0))</f>
        <v/>
      </c>
      <c r="J258" s="16" t="n"/>
      <c r="K258" s="17">
        <f>IF(I258="","",MAX(0,I258-IF(J258="",0,J258)))</f>
        <v/>
      </c>
      <c r="L258" s="8" t="n"/>
    </row>
    <row r="259">
      <c r="A259" s="15" t="n"/>
      <c r="B259" s="8" t="n"/>
      <c r="C259" s="8" t="n"/>
      <c r="D259" s="8" t="n"/>
      <c r="E259" s="16" t="n"/>
      <c r="F259" s="16" t="n"/>
      <c r="G259" s="17">
        <f>IF(E259="","",E259+IF(F259="",0,F259))</f>
        <v/>
      </c>
      <c r="H259" s="8" t="n"/>
      <c r="I259" s="17">
        <f>IF(E259="","",IF(H259="Vendida",E259*Resumen!$B$3,0))</f>
        <v/>
      </c>
      <c r="J259" s="16" t="n"/>
      <c r="K259" s="17">
        <f>IF(I259="","",MAX(0,I259-IF(J259="",0,J259)))</f>
        <v/>
      </c>
      <c r="L259" s="8" t="n"/>
    </row>
    <row r="260">
      <c r="A260" s="15" t="n"/>
      <c r="B260" s="8" t="n"/>
      <c r="C260" s="8" t="n"/>
      <c r="D260" s="8" t="n"/>
      <c r="E260" s="16" t="n"/>
      <c r="F260" s="16" t="n"/>
      <c r="G260" s="17">
        <f>IF(E260="","",E260+IF(F260="",0,F260))</f>
        <v/>
      </c>
      <c r="H260" s="8" t="n"/>
      <c r="I260" s="17">
        <f>IF(E260="","",IF(H260="Vendida",E260*Resumen!$B$3,0))</f>
        <v/>
      </c>
      <c r="J260" s="16" t="n"/>
      <c r="K260" s="17">
        <f>IF(I260="","",MAX(0,I260-IF(J260="",0,J260)))</f>
        <v/>
      </c>
      <c r="L260" s="8" t="n"/>
    </row>
    <row r="261">
      <c r="A261" s="15" t="n"/>
      <c r="B261" s="8" t="n"/>
      <c r="C261" s="8" t="n"/>
      <c r="D261" s="8" t="n"/>
      <c r="E261" s="16" t="n"/>
      <c r="F261" s="16" t="n"/>
      <c r="G261" s="17">
        <f>IF(E261="","",E261+IF(F261="",0,F261))</f>
        <v/>
      </c>
      <c r="H261" s="8" t="n"/>
      <c r="I261" s="17">
        <f>IF(E261="","",IF(H261="Vendida",E261*Resumen!$B$3,0))</f>
        <v/>
      </c>
      <c r="J261" s="16" t="n"/>
      <c r="K261" s="17">
        <f>IF(I261="","",MAX(0,I261-IF(J261="",0,J261)))</f>
        <v/>
      </c>
      <c r="L261" s="8" t="n"/>
    </row>
    <row r="262">
      <c r="A262" s="15" t="n"/>
      <c r="B262" s="8" t="n"/>
      <c r="C262" s="8" t="n"/>
      <c r="D262" s="8" t="n"/>
      <c r="E262" s="16" t="n"/>
      <c r="F262" s="16" t="n"/>
      <c r="G262" s="17">
        <f>IF(E262="","",E262+IF(F262="",0,F262))</f>
        <v/>
      </c>
      <c r="H262" s="8" t="n"/>
      <c r="I262" s="17">
        <f>IF(E262="","",IF(H262="Vendida",E262*Resumen!$B$3,0))</f>
        <v/>
      </c>
      <c r="J262" s="16" t="n"/>
      <c r="K262" s="17">
        <f>IF(I262="","",MAX(0,I262-IF(J262="",0,J262)))</f>
        <v/>
      </c>
      <c r="L262" s="8" t="n"/>
    </row>
    <row r="263">
      <c r="A263" s="15" t="n"/>
      <c r="B263" s="8" t="n"/>
      <c r="C263" s="8" t="n"/>
      <c r="D263" s="8" t="n"/>
      <c r="E263" s="16" t="n"/>
      <c r="F263" s="16" t="n"/>
      <c r="G263" s="17">
        <f>IF(E263="","",E263+IF(F263="",0,F263))</f>
        <v/>
      </c>
      <c r="H263" s="8" t="n"/>
      <c r="I263" s="17">
        <f>IF(E263="","",IF(H263="Vendida",E263*Resumen!$B$3,0))</f>
        <v/>
      </c>
      <c r="J263" s="16" t="n"/>
      <c r="K263" s="17">
        <f>IF(I263="","",MAX(0,I263-IF(J263="",0,J263)))</f>
        <v/>
      </c>
      <c r="L263" s="8" t="n"/>
    </row>
    <row r="264">
      <c r="A264" s="15" t="n"/>
      <c r="B264" s="8" t="n"/>
      <c r="C264" s="8" t="n"/>
      <c r="D264" s="8" t="n"/>
      <c r="E264" s="16" t="n"/>
      <c r="F264" s="16" t="n"/>
      <c r="G264" s="17">
        <f>IF(E264="","",E264+IF(F264="",0,F264))</f>
        <v/>
      </c>
      <c r="H264" s="8" t="n"/>
      <c r="I264" s="17">
        <f>IF(E264="","",IF(H264="Vendida",E264*Resumen!$B$3,0))</f>
        <v/>
      </c>
      <c r="J264" s="16" t="n"/>
      <c r="K264" s="17">
        <f>IF(I264="","",MAX(0,I264-IF(J264="",0,J264)))</f>
        <v/>
      </c>
      <c r="L264" s="8" t="n"/>
    </row>
    <row r="265">
      <c r="A265" s="15" t="n"/>
      <c r="B265" s="8" t="n"/>
      <c r="C265" s="8" t="n"/>
      <c r="D265" s="8" t="n"/>
      <c r="E265" s="16" t="n"/>
      <c r="F265" s="16" t="n"/>
      <c r="G265" s="17">
        <f>IF(E265="","",E265+IF(F265="",0,F265))</f>
        <v/>
      </c>
      <c r="H265" s="8" t="n"/>
      <c r="I265" s="17">
        <f>IF(E265="","",IF(H265="Vendida",E265*Resumen!$B$3,0))</f>
        <v/>
      </c>
      <c r="J265" s="16" t="n"/>
      <c r="K265" s="17">
        <f>IF(I265="","",MAX(0,I265-IF(J265="",0,J265)))</f>
        <v/>
      </c>
      <c r="L265" s="8" t="n"/>
    </row>
    <row r="266">
      <c r="A266" s="15" t="n"/>
      <c r="B266" s="8" t="n"/>
      <c r="C266" s="8" t="n"/>
      <c r="D266" s="8" t="n"/>
      <c r="E266" s="16" t="n"/>
      <c r="F266" s="16" t="n"/>
      <c r="G266" s="17">
        <f>IF(E266="","",E266+IF(F266="",0,F266))</f>
        <v/>
      </c>
      <c r="H266" s="8" t="n"/>
      <c r="I266" s="17">
        <f>IF(E266="","",IF(H266="Vendida",E266*Resumen!$B$3,0))</f>
        <v/>
      </c>
      <c r="J266" s="16" t="n"/>
      <c r="K266" s="17">
        <f>IF(I266="","",MAX(0,I266-IF(J266="",0,J266)))</f>
        <v/>
      </c>
      <c r="L266" s="8" t="n"/>
    </row>
    <row r="267">
      <c r="A267" s="15" t="n"/>
      <c r="B267" s="8" t="n"/>
      <c r="C267" s="8" t="n"/>
      <c r="D267" s="8" t="n"/>
      <c r="E267" s="16" t="n"/>
      <c r="F267" s="16" t="n"/>
      <c r="G267" s="17">
        <f>IF(E267="","",E267+IF(F267="",0,F267))</f>
        <v/>
      </c>
      <c r="H267" s="8" t="n"/>
      <c r="I267" s="17">
        <f>IF(E267="","",IF(H267="Vendida",E267*Resumen!$B$3,0))</f>
        <v/>
      </c>
      <c r="J267" s="16" t="n"/>
      <c r="K267" s="17">
        <f>IF(I267="","",MAX(0,I267-IF(J267="",0,J267)))</f>
        <v/>
      </c>
      <c r="L267" s="8" t="n"/>
    </row>
    <row r="268">
      <c r="A268" s="15" t="n"/>
      <c r="B268" s="8" t="n"/>
      <c r="C268" s="8" t="n"/>
      <c r="D268" s="8" t="n"/>
      <c r="E268" s="16" t="n"/>
      <c r="F268" s="16" t="n"/>
      <c r="G268" s="17">
        <f>IF(E268="","",E268+IF(F268="",0,F268))</f>
        <v/>
      </c>
      <c r="H268" s="8" t="n"/>
      <c r="I268" s="17">
        <f>IF(E268="","",IF(H268="Vendida",E268*Resumen!$B$3,0))</f>
        <v/>
      </c>
      <c r="J268" s="16" t="n"/>
      <c r="K268" s="17">
        <f>IF(I268="","",MAX(0,I268-IF(J268="",0,J268)))</f>
        <v/>
      </c>
      <c r="L268" s="8" t="n"/>
    </row>
    <row r="269">
      <c r="A269" s="15" t="n"/>
      <c r="B269" s="8" t="n"/>
      <c r="C269" s="8" t="n"/>
      <c r="D269" s="8" t="n"/>
      <c r="E269" s="16" t="n"/>
      <c r="F269" s="16" t="n"/>
      <c r="G269" s="17">
        <f>IF(E269="","",E269+IF(F269="",0,F269))</f>
        <v/>
      </c>
      <c r="H269" s="8" t="n"/>
      <c r="I269" s="17">
        <f>IF(E269="","",IF(H269="Vendida",E269*Resumen!$B$3,0))</f>
        <v/>
      </c>
      <c r="J269" s="16" t="n"/>
      <c r="K269" s="17">
        <f>IF(I269="","",MAX(0,I269-IF(J269="",0,J269)))</f>
        <v/>
      </c>
      <c r="L269" s="8" t="n"/>
    </row>
    <row r="270">
      <c r="A270" s="15" t="n"/>
      <c r="B270" s="8" t="n"/>
      <c r="C270" s="8" t="n"/>
      <c r="D270" s="8" t="n"/>
      <c r="E270" s="16" t="n"/>
      <c r="F270" s="16" t="n"/>
      <c r="G270" s="17">
        <f>IF(E270="","",E270+IF(F270="",0,F270))</f>
        <v/>
      </c>
      <c r="H270" s="8" t="n"/>
      <c r="I270" s="17">
        <f>IF(E270="","",IF(H270="Vendida",E270*Resumen!$B$3,0))</f>
        <v/>
      </c>
      <c r="J270" s="16" t="n"/>
      <c r="K270" s="17">
        <f>IF(I270="","",MAX(0,I270-IF(J270="",0,J270)))</f>
        <v/>
      </c>
      <c r="L270" s="8" t="n"/>
    </row>
    <row r="271">
      <c r="A271" s="15" t="n"/>
      <c r="B271" s="8" t="n"/>
      <c r="C271" s="8" t="n"/>
      <c r="D271" s="8" t="n"/>
      <c r="E271" s="16" t="n"/>
      <c r="F271" s="16" t="n"/>
      <c r="G271" s="17">
        <f>IF(E271="","",E271+IF(F271="",0,F271))</f>
        <v/>
      </c>
      <c r="H271" s="8" t="n"/>
      <c r="I271" s="17">
        <f>IF(E271="","",IF(H271="Vendida",E271*Resumen!$B$3,0))</f>
        <v/>
      </c>
      <c r="J271" s="16" t="n"/>
      <c r="K271" s="17">
        <f>IF(I271="","",MAX(0,I271-IF(J271="",0,J271)))</f>
        <v/>
      </c>
      <c r="L271" s="8" t="n"/>
    </row>
    <row r="272">
      <c r="A272" s="15" t="n"/>
      <c r="B272" s="8" t="n"/>
      <c r="C272" s="8" t="n"/>
      <c r="D272" s="8" t="n"/>
      <c r="E272" s="16" t="n"/>
      <c r="F272" s="16" t="n"/>
      <c r="G272" s="17">
        <f>IF(E272="","",E272+IF(F272="",0,F272))</f>
        <v/>
      </c>
      <c r="H272" s="8" t="n"/>
      <c r="I272" s="17">
        <f>IF(E272="","",IF(H272="Vendida",E272*Resumen!$B$3,0))</f>
        <v/>
      </c>
      <c r="J272" s="16" t="n"/>
      <c r="K272" s="17">
        <f>IF(I272="","",MAX(0,I272-IF(J272="",0,J272)))</f>
        <v/>
      </c>
      <c r="L272" s="8" t="n"/>
    </row>
    <row r="273">
      <c r="A273" s="15" t="n"/>
      <c r="B273" s="8" t="n"/>
      <c r="C273" s="8" t="n"/>
      <c r="D273" s="8" t="n"/>
      <c r="E273" s="16" t="n"/>
      <c r="F273" s="16" t="n"/>
      <c r="G273" s="17">
        <f>IF(E273="","",E273+IF(F273="",0,F273))</f>
        <v/>
      </c>
      <c r="H273" s="8" t="n"/>
      <c r="I273" s="17">
        <f>IF(E273="","",IF(H273="Vendida",E273*Resumen!$B$3,0))</f>
        <v/>
      </c>
      <c r="J273" s="16" t="n"/>
      <c r="K273" s="17">
        <f>IF(I273="","",MAX(0,I273-IF(J273="",0,J273)))</f>
        <v/>
      </c>
      <c r="L273" s="8" t="n"/>
    </row>
    <row r="274">
      <c r="A274" s="15" t="n"/>
      <c r="B274" s="8" t="n"/>
      <c r="C274" s="8" t="n"/>
      <c r="D274" s="8" t="n"/>
      <c r="E274" s="16" t="n"/>
      <c r="F274" s="16" t="n"/>
      <c r="G274" s="17">
        <f>IF(E274="","",E274+IF(F274="",0,F274))</f>
        <v/>
      </c>
      <c r="H274" s="8" t="n"/>
      <c r="I274" s="17">
        <f>IF(E274="","",IF(H274="Vendida",E274*Resumen!$B$3,0))</f>
        <v/>
      </c>
      <c r="J274" s="16" t="n"/>
      <c r="K274" s="17">
        <f>IF(I274="","",MAX(0,I274-IF(J274="",0,J274)))</f>
        <v/>
      </c>
      <c r="L274" s="8" t="n"/>
    </row>
    <row r="275">
      <c r="A275" s="15" t="n"/>
      <c r="B275" s="8" t="n"/>
      <c r="C275" s="8" t="n"/>
      <c r="D275" s="8" t="n"/>
      <c r="E275" s="16" t="n"/>
      <c r="F275" s="16" t="n"/>
      <c r="G275" s="17">
        <f>IF(E275="","",E275+IF(F275="",0,F275))</f>
        <v/>
      </c>
      <c r="H275" s="8" t="n"/>
      <c r="I275" s="17">
        <f>IF(E275="","",IF(H275="Vendida",E275*Resumen!$B$3,0))</f>
        <v/>
      </c>
      <c r="J275" s="16" t="n"/>
      <c r="K275" s="17">
        <f>IF(I275="","",MAX(0,I275-IF(J275="",0,J275)))</f>
        <v/>
      </c>
      <c r="L275" s="8" t="n"/>
    </row>
    <row r="276">
      <c r="A276" s="15" t="n"/>
      <c r="B276" s="8" t="n"/>
      <c r="C276" s="8" t="n"/>
      <c r="D276" s="8" t="n"/>
      <c r="E276" s="16" t="n"/>
      <c r="F276" s="16" t="n"/>
      <c r="G276" s="17">
        <f>IF(E276="","",E276+IF(F276="",0,F276))</f>
        <v/>
      </c>
      <c r="H276" s="8" t="n"/>
      <c r="I276" s="17">
        <f>IF(E276="","",IF(H276="Vendida",E276*Resumen!$B$3,0))</f>
        <v/>
      </c>
      <c r="J276" s="16" t="n"/>
      <c r="K276" s="17">
        <f>IF(I276="","",MAX(0,I276-IF(J276="",0,J276)))</f>
        <v/>
      </c>
      <c r="L276" s="8" t="n"/>
    </row>
    <row r="277">
      <c r="A277" s="15" t="n"/>
      <c r="B277" s="8" t="n"/>
      <c r="C277" s="8" t="n"/>
      <c r="D277" s="8" t="n"/>
      <c r="E277" s="16" t="n"/>
      <c r="F277" s="16" t="n"/>
      <c r="G277" s="17">
        <f>IF(E277="","",E277+IF(F277="",0,F277))</f>
        <v/>
      </c>
      <c r="H277" s="8" t="n"/>
      <c r="I277" s="17">
        <f>IF(E277="","",IF(H277="Vendida",E277*Resumen!$B$3,0))</f>
        <v/>
      </c>
      <c r="J277" s="16" t="n"/>
      <c r="K277" s="17">
        <f>IF(I277="","",MAX(0,I277-IF(J277="",0,J277)))</f>
        <v/>
      </c>
      <c r="L277" s="8" t="n"/>
    </row>
    <row r="278">
      <c r="A278" s="15" t="n"/>
      <c r="B278" s="8" t="n"/>
      <c r="C278" s="8" t="n"/>
      <c r="D278" s="8" t="n"/>
      <c r="E278" s="16" t="n"/>
      <c r="F278" s="16" t="n"/>
      <c r="G278" s="17">
        <f>IF(E278="","",E278+IF(F278="",0,F278))</f>
        <v/>
      </c>
      <c r="H278" s="8" t="n"/>
      <c r="I278" s="17">
        <f>IF(E278="","",IF(H278="Vendida",E278*Resumen!$B$3,0))</f>
        <v/>
      </c>
      <c r="J278" s="16" t="n"/>
      <c r="K278" s="17">
        <f>IF(I278="","",MAX(0,I278-IF(J278="",0,J278)))</f>
        <v/>
      </c>
      <c r="L278" s="8" t="n"/>
    </row>
    <row r="279">
      <c r="A279" s="15" t="n"/>
      <c r="B279" s="8" t="n"/>
      <c r="C279" s="8" t="n"/>
      <c r="D279" s="8" t="n"/>
      <c r="E279" s="16" t="n"/>
      <c r="F279" s="16" t="n"/>
      <c r="G279" s="17">
        <f>IF(E279="","",E279+IF(F279="",0,F279))</f>
        <v/>
      </c>
      <c r="H279" s="8" t="n"/>
      <c r="I279" s="17">
        <f>IF(E279="","",IF(H279="Vendida",E279*Resumen!$B$3,0))</f>
        <v/>
      </c>
      <c r="J279" s="16" t="n"/>
      <c r="K279" s="17">
        <f>IF(I279="","",MAX(0,I279-IF(J279="",0,J279)))</f>
        <v/>
      </c>
      <c r="L279" s="8" t="n"/>
    </row>
    <row r="280">
      <c r="A280" s="15" t="n"/>
      <c r="B280" s="8" t="n"/>
      <c r="C280" s="8" t="n"/>
      <c r="D280" s="8" t="n"/>
      <c r="E280" s="16" t="n"/>
      <c r="F280" s="16" t="n"/>
      <c r="G280" s="17">
        <f>IF(E280="","",E280+IF(F280="",0,F280))</f>
        <v/>
      </c>
      <c r="H280" s="8" t="n"/>
      <c r="I280" s="17">
        <f>IF(E280="","",IF(H280="Vendida",E280*Resumen!$B$3,0))</f>
        <v/>
      </c>
      <c r="J280" s="16" t="n"/>
      <c r="K280" s="17">
        <f>IF(I280="","",MAX(0,I280-IF(J280="",0,J280)))</f>
        <v/>
      </c>
      <c r="L280" s="8" t="n"/>
    </row>
    <row r="281">
      <c r="A281" s="15" t="n"/>
      <c r="B281" s="8" t="n"/>
      <c r="C281" s="8" t="n"/>
      <c r="D281" s="8" t="n"/>
      <c r="E281" s="16" t="n"/>
      <c r="F281" s="16" t="n"/>
      <c r="G281" s="17">
        <f>IF(E281="","",E281+IF(F281="",0,F281))</f>
        <v/>
      </c>
      <c r="H281" s="8" t="n"/>
      <c r="I281" s="17">
        <f>IF(E281="","",IF(H281="Vendida",E281*Resumen!$B$3,0))</f>
        <v/>
      </c>
      <c r="J281" s="16" t="n"/>
      <c r="K281" s="17">
        <f>IF(I281="","",MAX(0,I281-IF(J281="",0,J281)))</f>
        <v/>
      </c>
      <c r="L281" s="8" t="n"/>
    </row>
    <row r="282">
      <c r="A282" s="15" t="n"/>
      <c r="B282" s="8" t="n"/>
      <c r="C282" s="8" t="n"/>
      <c r="D282" s="8" t="n"/>
      <c r="E282" s="16" t="n"/>
      <c r="F282" s="16" t="n"/>
      <c r="G282" s="17">
        <f>IF(E282="","",E282+IF(F282="",0,F282))</f>
        <v/>
      </c>
      <c r="H282" s="8" t="n"/>
      <c r="I282" s="17">
        <f>IF(E282="","",IF(H282="Vendida",E282*Resumen!$B$3,0))</f>
        <v/>
      </c>
      <c r="J282" s="16" t="n"/>
      <c r="K282" s="17">
        <f>IF(I282="","",MAX(0,I282-IF(J282="",0,J282)))</f>
        <v/>
      </c>
      <c r="L282" s="8" t="n"/>
    </row>
    <row r="283">
      <c r="A283" s="15" t="n"/>
      <c r="B283" s="8" t="n"/>
      <c r="C283" s="8" t="n"/>
      <c r="D283" s="8" t="n"/>
      <c r="E283" s="16" t="n"/>
      <c r="F283" s="16" t="n"/>
      <c r="G283" s="17">
        <f>IF(E283="","",E283+IF(F283="",0,F283))</f>
        <v/>
      </c>
      <c r="H283" s="8" t="n"/>
      <c r="I283" s="17">
        <f>IF(E283="","",IF(H283="Vendida",E283*Resumen!$B$3,0))</f>
        <v/>
      </c>
      <c r="J283" s="16" t="n"/>
      <c r="K283" s="17">
        <f>IF(I283="","",MAX(0,I283-IF(J283="",0,J283)))</f>
        <v/>
      </c>
      <c r="L283" s="8" t="n"/>
    </row>
    <row r="284">
      <c r="A284" s="15" t="n"/>
      <c r="B284" s="8" t="n"/>
      <c r="C284" s="8" t="n"/>
      <c r="D284" s="8" t="n"/>
      <c r="E284" s="16" t="n"/>
      <c r="F284" s="16" t="n"/>
      <c r="G284" s="17">
        <f>IF(E284="","",E284+IF(F284="",0,F284))</f>
        <v/>
      </c>
      <c r="H284" s="8" t="n"/>
      <c r="I284" s="17">
        <f>IF(E284="","",IF(H284="Vendida",E284*Resumen!$B$3,0))</f>
        <v/>
      </c>
      <c r="J284" s="16" t="n"/>
      <c r="K284" s="17">
        <f>IF(I284="","",MAX(0,I284-IF(J284="",0,J284)))</f>
        <v/>
      </c>
      <c r="L284" s="8" t="n"/>
    </row>
    <row r="285">
      <c r="A285" s="15" t="n"/>
      <c r="B285" s="8" t="n"/>
      <c r="C285" s="8" t="n"/>
      <c r="D285" s="8" t="n"/>
      <c r="E285" s="16" t="n"/>
      <c r="F285" s="16" t="n"/>
      <c r="G285" s="17">
        <f>IF(E285="","",E285+IF(F285="",0,F285))</f>
        <v/>
      </c>
      <c r="H285" s="8" t="n"/>
      <c r="I285" s="17">
        <f>IF(E285="","",IF(H285="Vendida",E285*Resumen!$B$3,0))</f>
        <v/>
      </c>
      <c r="J285" s="16" t="n"/>
      <c r="K285" s="17">
        <f>IF(I285="","",MAX(0,I285-IF(J285="",0,J285)))</f>
        <v/>
      </c>
      <c r="L285" s="8" t="n"/>
    </row>
    <row r="286">
      <c r="A286" s="15" t="n"/>
      <c r="B286" s="8" t="n"/>
      <c r="C286" s="8" t="n"/>
      <c r="D286" s="8" t="n"/>
      <c r="E286" s="16" t="n"/>
      <c r="F286" s="16" t="n"/>
      <c r="G286" s="17">
        <f>IF(E286="","",E286+IF(F286="",0,F286))</f>
        <v/>
      </c>
      <c r="H286" s="8" t="n"/>
      <c r="I286" s="17">
        <f>IF(E286="","",IF(H286="Vendida",E286*Resumen!$B$3,0))</f>
        <v/>
      </c>
      <c r="J286" s="16" t="n"/>
      <c r="K286" s="17">
        <f>IF(I286="","",MAX(0,I286-IF(J286="",0,J286)))</f>
        <v/>
      </c>
      <c r="L286" s="8" t="n"/>
    </row>
    <row r="287">
      <c r="A287" s="15" t="n"/>
      <c r="B287" s="8" t="n"/>
      <c r="C287" s="8" t="n"/>
      <c r="D287" s="8" t="n"/>
      <c r="E287" s="16" t="n"/>
      <c r="F287" s="16" t="n"/>
      <c r="G287" s="17">
        <f>IF(E287="","",E287+IF(F287="",0,F287))</f>
        <v/>
      </c>
      <c r="H287" s="8" t="n"/>
      <c r="I287" s="17">
        <f>IF(E287="","",IF(H287="Vendida",E287*Resumen!$B$3,0))</f>
        <v/>
      </c>
      <c r="J287" s="16" t="n"/>
      <c r="K287" s="17">
        <f>IF(I287="","",MAX(0,I287-IF(J287="",0,J287)))</f>
        <v/>
      </c>
      <c r="L287" s="8" t="n"/>
    </row>
    <row r="288">
      <c r="A288" s="15" t="n"/>
      <c r="B288" s="8" t="n"/>
      <c r="C288" s="8" t="n"/>
      <c r="D288" s="8" t="n"/>
      <c r="E288" s="16" t="n"/>
      <c r="F288" s="16" t="n"/>
      <c r="G288" s="17">
        <f>IF(E288="","",E288+IF(F288="",0,F288))</f>
        <v/>
      </c>
      <c r="H288" s="8" t="n"/>
      <c r="I288" s="17">
        <f>IF(E288="","",IF(H288="Vendida",E288*Resumen!$B$3,0))</f>
        <v/>
      </c>
      <c r="J288" s="16" t="n"/>
      <c r="K288" s="17">
        <f>IF(I288="","",MAX(0,I288-IF(J288="",0,J288)))</f>
        <v/>
      </c>
      <c r="L288" s="8" t="n"/>
    </row>
    <row r="289">
      <c r="A289" s="15" t="n"/>
      <c r="B289" s="8" t="n"/>
      <c r="C289" s="8" t="n"/>
      <c r="D289" s="8" t="n"/>
      <c r="E289" s="16" t="n"/>
      <c r="F289" s="16" t="n"/>
      <c r="G289" s="17">
        <f>IF(E289="","",E289+IF(F289="",0,F289))</f>
        <v/>
      </c>
      <c r="H289" s="8" t="n"/>
      <c r="I289" s="17">
        <f>IF(E289="","",IF(H289="Vendida",E289*Resumen!$B$3,0))</f>
        <v/>
      </c>
      <c r="J289" s="16" t="n"/>
      <c r="K289" s="17">
        <f>IF(I289="","",MAX(0,I289-IF(J289="",0,J289)))</f>
        <v/>
      </c>
      <c r="L289" s="8" t="n"/>
    </row>
    <row r="290">
      <c r="A290" s="15" t="n"/>
      <c r="B290" s="8" t="n"/>
      <c r="C290" s="8" t="n"/>
      <c r="D290" s="8" t="n"/>
      <c r="E290" s="16" t="n"/>
      <c r="F290" s="16" t="n"/>
      <c r="G290" s="17">
        <f>IF(E290="","",E290+IF(F290="",0,F290))</f>
        <v/>
      </c>
      <c r="H290" s="8" t="n"/>
      <c r="I290" s="17">
        <f>IF(E290="","",IF(H290="Vendida",E290*Resumen!$B$3,0))</f>
        <v/>
      </c>
      <c r="J290" s="16" t="n"/>
      <c r="K290" s="17">
        <f>IF(I290="","",MAX(0,I290-IF(J290="",0,J290)))</f>
        <v/>
      </c>
      <c r="L290" s="8" t="n"/>
    </row>
    <row r="291">
      <c r="A291" s="15" t="n"/>
      <c r="B291" s="8" t="n"/>
      <c r="C291" s="8" t="n"/>
      <c r="D291" s="8" t="n"/>
      <c r="E291" s="16" t="n"/>
      <c r="F291" s="16" t="n"/>
      <c r="G291" s="17">
        <f>IF(E291="","",E291+IF(F291="",0,F291))</f>
        <v/>
      </c>
      <c r="H291" s="8" t="n"/>
      <c r="I291" s="17">
        <f>IF(E291="","",IF(H291="Vendida",E291*Resumen!$B$3,0))</f>
        <v/>
      </c>
      <c r="J291" s="16" t="n"/>
      <c r="K291" s="17">
        <f>IF(I291="","",MAX(0,I291-IF(J291="",0,J291)))</f>
        <v/>
      </c>
      <c r="L291" s="8" t="n"/>
    </row>
    <row r="292">
      <c r="A292" s="15" t="n"/>
      <c r="B292" s="8" t="n"/>
      <c r="C292" s="8" t="n"/>
      <c r="D292" s="8" t="n"/>
      <c r="E292" s="16" t="n"/>
      <c r="F292" s="16" t="n"/>
      <c r="G292" s="17">
        <f>IF(E292="","",E292+IF(F292="",0,F292))</f>
        <v/>
      </c>
      <c r="H292" s="8" t="n"/>
      <c r="I292" s="17">
        <f>IF(E292="","",IF(H292="Vendida",E292*Resumen!$B$3,0))</f>
        <v/>
      </c>
      <c r="J292" s="16" t="n"/>
      <c r="K292" s="17">
        <f>IF(I292="","",MAX(0,I292-IF(J292="",0,J292)))</f>
        <v/>
      </c>
      <c r="L292" s="8" t="n"/>
    </row>
    <row r="293">
      <c r="A293" s="15" t="n"/>
      <c r="B293" s="8" t="n"/>
      <c r="C293" s="8" t="n"/>
      <c r="D293" s="8" t="n"/>
      <c r="E293" s="16" t="n"/>
      <c r="F293" s="16" t="n"/>
      <c r="G293" s="17">
        <f>IF(E293="","",E293+IF(F293="",0,F293))</f>
        <v/>
      </c>
      <c r="H293" s="8" t="n"/>
      <c r="I293" s="17">
        <f>IF(E293="","",IF(H293="Vendida",E293*Resumen!$B$3,0))</f>
        <v/>
      </c>
      <c r="J293" s="16" t="n"/>
      <c r="K293" s="17">
        <f>IF(I293="","",MAX(0,I293-IF(J293="",0,J293)))</f>
        <v/>
      </c>
      <c r="L293" s="8" t="n"/>
    </row>
    <row r="294">
      <c r="A294" s="15" t="n"/>
      <c r="B294" s="8" t="n"/>
      <c r="C294" s="8" t="n"/>
      <c r="D294" s="8" t="n"/>
      <c r="E294" s="16" t="n"/>
      <c r="F294" s="16" t="n"/>
      <c r="G294" s="17">
        <f>IF(E294="","",E294+IF(F294="",0,F294))</f>
        <v/>
      </c>
      <c r="H294" s="8" t="n"/>
      <c r="I294" s="17">
        <f>IF(E294="","",IF(H294="Vendida",E294*Resumen!$B$3,0))</f>
        <v/>
      </c>
      <c r="J294" s="16" t="n"/>
      <c r="K294" s="17">
        <f>IF(I294="","",MAX(0,I294-IF(J294="",0,J294)))</f>
        <v/>
      </c>
      <c r="L294" s="8" t="n"/>
    </row>
    <row r="295">
      <c r="A295" s="15" t="n"/>
      <c r="B295" s="8" t="n"/>
      <c r="C295" s="8" t="n"/>
      <c r="D295" s="8" t="n"/>
      <c r="E295" s="16" t="n"/>
      <c r="F295" s="16" t="n"/>
      <c r="G295" s="17">
        <f>IF(E295="","",E295+IF(F295="",0,F295))</f>
        <v/>
      </c>
      <c r="H295" s="8" t="n"/>
      <c r="I295" s="17">
        <f>IF(E295="","",IF(H295="Vendida",E295*Resumen!$B$3,0))</f>
        <v/>
      </c>
      <c r="J295" s="16" t="n"/>
      <c r="K295" s="17">
        <f>IF(I295="","",MAX(0,I295-IF(J295="",0,J295)))</f>
        <v/>
      </c>
      <c r="L295" s="8" t="n"/>
    </row>
    <row r="296">
      <c r="A296" s="15" t="n"/>
      <c r="B296" s="8" t="n"/>
      <c r="C296" s="8" t="n"/>
      <c r="D296" s="8" t="n"/>
      <c r="E296" s="16" t="n"/>
      <c r="F296" s="16" t="n"/>
      <c r="G296" s="17">
        <f>IF(E296="","",E296+IF(F296="",0,F296))</f>
        <v/>
      </c>
      <c r="H296" s="8" t="n"/>
      <c r="I296" s="17">
        <f>IF(E296="","",IF(H296="Vendida",E296*Resumen!$B$3,0))</f>
        <v/>
      </c>
      <c r="J296" s="16" t="n"/>
      <c r="K296" s="17">
        <f>IF(I296="","",MAX(0,I296-IF(J296="",0,J296)))</f>
        <v/>
      </c>
      <c r="L296" s="8" t="n"/>
    </row>
    <row r="297">
      <c r="A297" s="15" t="n"/>
      <c r="B297" s="8" t="n"/>
      <c r="C297" s="8" t="n"/>
      <c r="D297" s="8" t="n"/>
      <c r="E297" s="16" t="n"/>
      <c r="F297" s="16" t="n"/>
      <c r="G297" s="17">
        <f>IF(E297="","",E297+IF(F297="",0,F297))</f>
        <v/>
      </c>
      <c r="H297" s="8" t="n"/>
      <c r="I297" s="17">
        <f>IF(E297="","",IF(H297="Vendida",E297*Resumen!$B$3,0))</f>
        <v/>
      </c>
      <c r="J297" s="16" t="n"/>
      <c r="K297" s="17">
        <f>IF(I297="","",MAX(0,I297-IF(J297="",0,J297)))</f>
        <v/>
      </c>
      <c r="L297" s="8" t="n"/>
    </row>
    <row r="298">
      <c r="A298" s="15" t="n"/>
      <c r="B298" s="8" t="n"/>
      <c r="C298" s="8" t="n"/>
      <c r="D298" s="8" t="n"/>
      <c r="E298" s="16" t="n"/>
      <c r="F298" s="16" t="n"/>
      <c r="G298" s="17">
        <f>IF(E298="","",E298+IF(F298="",0,F298))</f>
        <v/>
      </c>
      <c r="H298" s="8" t="n"/>
      <c r="I298" s="17">
        <f>IF(E298="","",IF(H298="Vendida",E298*Resumen!$B$3,0))</f>
        <v/>
      </c>
      <c r="J298" s="16" t="n"/>
      <c r="K298" s="17">
        <f>IF(I298="","",MAX(0,I298-IF(J298="",0,J298)))</f>
        <v/>
      </c>
      <c r="L298" s="8" t="n"/>
    </row>
    <row r="299">
      <c r="A299" s="15" t="n"/>
      <c r="B299" s="8" t="n"/>
      <c r="C299" s="8" t="n"/>
      <c r="D299" s="8" t="n"/>
      <c r="E299" s="16" t="n"/>
      <c r="F299" s="16" t="n"/>
      <c r="G299" s="17">
        <f>IF(E299="","",E299+IF(F299="",0,F299))</f>
        <v/>
      </c>
      <c r="H299" s="8" t="n"/>
      <c r="I299" s="17">
        <f>IF(E299="","",IF(H299="Vendida",E299*Resumen!$B$3,0))</f>
        <v/>
      </c>
      <c r="J299" s="16" t="n"/>
      <c r="K299" s="17">
        <f>IF(I299="","",MAX(0,I299-IF(J299="",0,J299)))</f>
        <v/>
      </c>
      <c r="L299" s="8" t="n"/>
    </row>
    <row r="300">
      <c r="A300" s="15" t="n"/>
      <c r="B300" s="8" t="n"/>
      <c r="C300" s="8" t="n"/>
      <c r="D300" s="8" t="n"/>
      <c r="E300" s="16" t="n"/>
      <c r="F300" s="16" t="n"/>
      <c r="G300" s="17">
        <f>IF(E300="","",E300+IF(F300="",0,F300))</f>
        <v/>
      </c>
      <c r="H300" s="8" t="n"/>
      <c r="I300" s="17">
        <f>IF(E300="","",IF(H300="Vendida",E300*Resumen!$B$3,0))</f>
        <v/>
      </c>
      <c r="J300" s="16" t="n"/>
      <c r="K300" s="17">
        <f>IF(I300="","",MAX(0,I300-IF(J300="",0,J300)))</f>
        <v/>
      </c>
      <c r="L300" s="8" t="n"/>
    </row>
    <row r="301">
      <c r="A301" s="15" t="n"/>
      <c r="B301" s="8" t="n"/>
      <c r="C301" s="8" t="n"/>
      <c r="D301" s="8" t="n"/>
      <c r="E301" s="16" t="n"/>
      <c r="F301" s="16" t="n"/>
      <c r="G301" s="17">
        <f>IF(E301="","",E301+IF(F301="",0,F301))</f>
        <v/>
      </c>
      <c r="H301" s="8" t="n"/>
      <c r="I301" s="17">
        <f>IF(E301="","",IF(H301="Vendida",E301*Resumen!$B$3,0))</f>
        <v/>
      </c>
      <c r="J301" s="16" t="n"/>
      <c r="K301" s="17">
        <f>IF(I301="","",MAX(0,I301-IF(J301="",0,J301)))</f>
        <v/>
      </c>
      <c r="L301" s="8" t="n"/>
    </row>
    <row r="302">
      <c r="A302" s="15" t="n"/>
      <c r="B302" s="8" t="n"/>
      <c r="C302" s="8" t="n"/>
      <c r="D302" s="8" t="n"/>
      <c r="E302" s="16" t="n"/>
      <c r="F302" s="16" t="n"/>
      <c r="G302" s="17">
        <f>IF(E302="","",E302+IF(F302="",0,F302))</f>
        <v/>
      </c>
      <c r="H302" s="8" t="n"/>
      <c r="I302" s="17">
        <f>IF(E302="","",IF(H302="Vendida",E302*Resumen!$B$3,0))</f>
        <v/>
      </c>
      <c r="J302" s="16" t="n"/>
      <c r="K302" s="17">
        <f>IF(I302="","",MAX(0,I302-IF(J302="",0,J302)))</f>
        <v/>
      </c>
      <c r="L302" s="8" t="n"/>
    </row>
    <row r="303">
      <c r="A303" s="15" t="n"/>
      <c r="B303" s="8" t="n"/>
      <c r="C303" s="8" t="n"/>
      <c r="D303" s="8" t="n"/>
      <c r="E303" s="16" t="n"/>
      <c r="F303" s="16" t="n"/>
      <c r="G303" s="17">
        <f>IF(E303="","",E303+IF(F303="",0,F303))</f>
        <v/>
      </c>
      <c r="H303" s="8" t="n"/>
      <c r="I303" s="17">
        <f>IF(E303="","",IF(H303="Vendida",E303*Resumen!$B$3,0))</f>
        <v/>
      </c>
      <c r="J303" s="16" t="n"/>
      <c r="K303" s="17">
        <f>IF(I303="","",MAX(0,I303-IF(J303="",0,J303)))</f>
        <v/>
      </c>
      <c r="L303" s="8" t="n"/>
    </row>
    <row r="304">
      <c r="A304" s="15" t="n"/>
      <c r="B304" s="8" t="n"/>
      <c r="C304" s="8" t="n"/>
      <c r="D304" s="8" t="n"/>
      <c r="E304" s="16" t="n"/>
      <c r="F304" s="16" t="n"/>
      <c r="G304" s="17">
        <f>IF(E304="","",E304+IF(F304="",0,F304))</f>
        <v/>
      </c>
      <c r="H304" s="8" t="n"/>
      <c r="I304" s="17">
        <f>IF(E304="","",IF(H304="Vendida",E304*Resumen!$B$3,0))</f>
        <v/>
      </c>
      <c r="J304" s="16" t="n"/>
      <c r="K304" s="17">
        <f>IF(I304="","",MAX(0,I304-IF(J304="",0,J304)))</f>
        <v/>
      </c>
      <c r="L304" s="8" t="n"/>
    </row>
    <row r="305">
      <c r="A305" s="15" t="n"/>
      <c r="B305" s="8" t="n"/>
      <c r="C305" s="8" t="n"/>
      <c r="D305" s="8" t="n"/>
      <c r="E305" s="16" t="n"/>
      <c r="F305" s="16" t="n"/>
      <c r="G305" s="17">
        <f>IF(E305="","",E305+IF(F305="",0,F305))</f>
        <v/>
      </c>
      <c r="H305" s="8" t="n"/>
      <c r="I305" s="17">
        <f>IF(E305="","",IF(H305="Vendida",E305*Resumen!$B$3,0))</f>
        <v/>
      </c>
      <c r="J305" s="16" t="n"/>
      <c r="K305" s="17">
        <f>IF(I305="","",MAX(0,I305-IF(J305="",0,J305)))</f>
        <v/>
      </c>
      <c r="L305" s="8" t="n"/>
    </row>
    <row r="306">
      <c r="A306" s="15" t="n"/>
      <c r="B306" s="8" t="n"/>
      <c r="C306" s="8" t="n"/>
      <c r="D306" s="8" t="n"/>
      <c r="E306" s="16" t="n"/>
      <c r="F306" s="16" t="n"/>
      <c r="G306" s="17">
        <f>IF(E306="","",E306+IF(F306="",0,F306))</f>
        <v/>
      </c>
      <c r="H306" s="8" t="n"/>
      <c r="I306" s="17">
        <f>IF(E306="","",IF(H306="Vendida",E306*Resumen!$B$3,0))</f>
        <v/>
      </c>
      <c r="J306" s="16" t="n"/>
      <c r="K306" s="17">
        <f>IF(I306="","",MAX(0,I306-IF(J306="",0,J306)))</f>
        <v/>
      </c>
      <c r="L306" s="8" t="n"/>
    </row>
    <row r="307">
      <c r="A307" s="15" t="n"/>
      <c r="B307" s="8" t="n"/>
      <c r="C307" s="8" t="n"/>
      <c r="D307" s="8" t="n"/>
      <c r="E307" s="16" t="n"/>
      <c r="F307" s="16" t="n"/>
      <c r="G307" s="17">
        <f>IF(E307="","",E307+IF(F307="",0,F307))</f>
        <v/>
      </c>
      <c r="H307" s="8" t="n"/>
      <c r="I307" s="17">
        <f>IF(E307="","",IF(H307="Vendida",E307*Resumen!$B$3,0))</f>
        <v/>
      </c>
      <c r="J307" s="16" t="n"/>
      <c r="K307" s="17">
        <f>IF(I307="","",MAX(0,I307-IF(J307="",0,J307)))</f>
        <v/>
      </c>
      <c r="L307" s="8" t="n"/>
    </row>
    <row r="308">
      <c r="A308" s="15" t="n"/>
      <c r="B308" s="8" t="n"/>
      <c r="C308" s="8" t="n"/>
      <c r="D308" s="8" t="n"/>
      <c r="E308" s="16" t="n"/>
      <c r="F308" s="16" t="n"/>
      <c r="G308" s="17">
        <f>IF(E308="","",E308+IF(F308="",0,F308))</f>
        <v/>
      </c>
      <c r="H308" s="8" t="n"/>
      <c r="I308" s="17">
        <f>IF(E308="","",IF(H308="Vendida",E308*Resumen!$B$3,0))</f>
        <v/>
      </c>
      <c r="J308" s="16" t="n"/>
      <c r="K308" s="17">
        <f>IF(I308="","",MAX(0,I308-IF(J308="",0,J308)))</f>
        <v/>
      </c>
      <c r="L308" s="8" t="n"/>
    </row>
    <row r="309">
      <c r="A309" s="15" t="n"/>
      <c r="B309" s="8" t="n"/>
      <c r="C309" s="8" t="n"/>
      <c r="D309" s="8" t="n"/>
      <c r="E309" s="16" t="n"/>
      <c r="F309" s="16" t="n"/>
      <c r="G309" s="17">
        <f>IF(E309="","",E309+IF(F309="",0,F309))</f>
        <v/>
      </c>
      <c r="H309" s="8" t="n"/>
      <c r="I309" s="17">
        <f>IF(E309="","",IF(H309="Vendida",E309*Resumen!$B$3,0))</f>
        <v/>
      </c>
      <c r="J309" s="16" t="n"/>
      <c r="K309" s="17">
        <f>IF(I309="","",MAX(0,I309-IF(J309="",0,J309)))</f>
        <v/>
      </c>
      <c r="L309" s="8" t="n"/>
    </row>
    <row r="310">
      <c r="A310" s="15" t="n"/>
      <c r="B310" s="8" t="n"/>
      <c r="C310" s="8" t="n"/>
      <c r="D310" s="8" t="n"/>
      <c r="E310" s="16" t="n"/>
      <c r="F310" s="16" t="n"/>
      <c r="G310" s="17">
        <f>IF(E310="","",E310+IF(F310="",0,F310))</f>
        <v/>
      </c>
      <c r="H310" s="8" t="n"/>
      <c r="I310" s="17">
        <f>IF(E310="","",IF(H310="Vendida",E310*Resumen!$B$3,0))</f>
        <v/>
      </c>
      <c r="J310" s="16" t="n"/>
      <c r="K310" s="17">
        <f>IF(I310="","",MAX(0,I310-IF(J310="",0,J310)))</f>
        <v/>
      </c>
      <c r="L310" s="8" t="n"/>
    </row>
    <row r="311">
      <c r="A311" s="15" t="n"/>
      <c r="B311" s="8" t="n"/>
      <c r="C311" s="8" t="n"/>
      <c r="D311" s="8" t="n"/>
      <c r="E311" s="16" t="n"/>
      <c r="F311" s="16" t="n"/>
      <c r="G311" s="17">
        <f>IF(E311="","",E311+IF(F311="",0,F311))</f>
        <v/>
      </c>
      <c r="H311" s="8" t="n"/>
      <c r="I311" s="17">
        <f>IF(E311="","",IF(H311="Vendida",E311*Resumen!$B$3,0))</f>
        <v/>
      </c>
      <c r="J311" s="16" t="n"/>
      <c r="K311" s="17">
        <f>IF(I311="","",MAX(0,I311-IF(J311="",0,J311)))</f>
        <v/>
      </c>
      <c r="L311" s="8" t="n"/>
    </row>
    <row r="312">
      <c r="A312" s="15" t="n"/>
      <c r="B312" s="8" t="n"/>
      <c r="C312" s="8" t="n"/>
      <c r="D312" s="8" t="n"/>
      <c r="E312" s="16" t="n"/>
      <c r="F312" s="16" t="n"/>
      <c r="G312" s="17">
        <f>IF(E312="","",E312+IF(F312="",0,F312))</f>
        <v/>
      </c>
      <c r="H312" s="8" t="n"/>
      <c r="I312" s="17">
        <f>IF(E312="","",IF(H312="Vendida",E312*Resumen!$B$3,0))</f>
        <v/>
      </c>
      <c r="J312" s="16" t="n"/>
      <c r="K312" s="17">
        <f>IF(I312="","",MAX(0,I312-IF(J312="",0,J312)))</f>
        <v/>
      </c>
      <c r="L312" s="8" t="n"/>
    </row>
    <row r="313">
      <c r="A313" s="15" t="n"/>
      <c r="B313" s="8" t="n"/>
      <c r="C313" s="8" t="n"/>
      <c r="D313" s="8" t="n"/>
      <c r="E313" s="16" t="n"/>
      <c r="F313" s="16" t="n"/>
      <c r="G313" s="17">
        <f>IF(E313="","",E313+IF(F313="",0,F313))</f>
        <v/>
      </c>
      <c r="H313" s="8" t="n"/>
      <c r="I313" s="17">
        <f>IF(E313="","",IF(H313="Vendida",E313*Resumen!$B$3,0))</f>
        <v/>
      </c>
      <c r="J313" s="16" t="n"/>
      <c r="K313" s="17">
        <f>IF(I313="","",MAX(0,I313-IF(J313="",0,J313)))</f>
        <v/>
      </c>
      <c r="L313" s="8" t="n"/>
    </row>
    <row r="314">
      <c r="A314" s="15" t="n"/>
      <c r="B314" s="8" t="n"/>
      <c r="C314" s="8" t="n"/>
      <c r="D314" s="8" t="n"/>
      <c r="E314" s="16" t="n"/>
      <c r="F314" s="16" t="n"/>
      <c r="G314" s="17">
        <f>IF(E314="","",E314+IF(F314="",0,F314))</f>
        <v/>
      </c>
      <c r="H314" s="8" t="n"/>
      <c r="I314" s="17">
        <f>IF(E314="","",IF(H314="Vendida",E314*Resumen!$B$3,0))</f>
        <v/>
      </c>
      <c r="J314" s="16" t="n"/>
      <c r="K314" s="17">
        <f>IF(I314="","",MAX(0,I314-IF(J314="",0,J314)))</f>
        <v/>
      </c>
      <c r="L314" s="8" t="n"/>
    </row>
    <row r="315">
      <c r="A315" s="15" t="n"/>
      <c r="B315" s="8" t="n"/>
      <c r="C315" s="8" t="n"/>
      <c r="D315" s="8" t="n"/>
      <c r="E315" s="16" t="n"/>
      <c r="F315" s="16" t="n"/>
      <c r="G315" s="17">
        <f>IF(E315="","",E315+IF(F315="",0,F315))</f>
        <v/>
      </c>
      <c r="H315" s="8" t="n"/>
      <c r="I315" s="17">
        <f>IF(E315="","",IF(H315="Vendida",E315*Resumen!$B$3,0))</f>
        <v/>
      </c>
      <c r="J315" s="16" t="n"/>
      <c r="K315" s="17">
        <f>IF(I315="","",MAX(0,I315-IF(J315="",0,J315)))</f>
        <v/>
      </c>
      <c r="L315" s="8" t="n"/>
    </row>
    <row r="316">
      <c r="A316" s="15" t="n"/>
      <c r="B316" s="8" t="n"/>
      <c r="C316" s="8" t="n"/>
      <c r="D316" s="8" t="n"/>
      <c r="E316" s="16" t="n"/>
      <c r="F316" s="16" t="n"/>
      <c r="G316" s="17">
        <f>IF(E316="","",E316+IF(F316="",0,F316))</f>
        <v/>
      </c>
      <c r="H316" s="8" t="n"/>
      <c r="I316" s="17">
        <f>IF(E316="","",IF(H316="Vendida",E316*Resumen!$B$3,0))</f>
        <v/>
      </c>
      <c r="J316" s="16" t="n"/>
      <c r="K316" s="17">
        <f>IF(I316="","",MAX(0,I316-IF(J316="",0,J316)))</f>
        <v/>
      </c>
      <c r="L316" s="8" t="n"/>
    </row>
    <row r="317">
      <c r="A317" s="15" t="n"/>
      <c r="B317" s="8" t="n"/>
      <c r="C317" s="8" t="n"/>
      <c r="D317" s="8" t="n"/>
      <c r="E317" s="16" t="n"/>
      <c r="F317" s="16" t="n"/>
      <c r="G317" s="17">
        <f>IF(E317="","",E317+IF(F317="",0,F317))</f>
        <v/>
      </c>
      <c r="H317" s="8" t="n"/>
      <c r="I317" s="17">
        <f>IF(E317="","",IF(H317="Vendida",E317*Resumen!$B$3,0))</f>
        <v/>
      </c>
      <c r="J317" s="16" t="n"/>
      <c r="K317" s="17">
        <f>IF(I317="","",MAX(0,I317-IF(J317="",0,J317)))</f>
        <v/>
      </c>
      <c r="L317" s="8" t="n"/>
    </row>
    <row r="318">
      <c r="A318" s="15" t="n"/>
      <c r="B318" s="8" t="n"/>
      <c r="C318" s="8" t="n"/>
      <c r="D318" s="8" t="n"/>
      <c r="E318" s="16" t="n"/>
      <c r="F318" s="16" t="n"/>
      <c r="G318" s="17">
        <f>IF(E318="","",E318+IF(F318="",0,F318))</f>
        <v/>
      </c>
      <c r="H318" s="8" t="n"/>
      <c r="I318" s="17">
        <f>IF(E318="","",IF(H318="Vendida",E318*Resumen!$B$3,0))</f>
        <v/>
      </c>
      <c r="J318" s="16" t="n"/>
      <c r="K318" s="17">
        <f>IF(I318="","",MAX(0,I318-IF(J318="",0,J318)))</f>
        <v/>
      </c>
      <c r="L318" s="8" t="n"/>
    </row>
    <row r="319">
      <c r="A319" s="15" t="n"/>
      <c r="B319" s="8" t="n"/>
      <c r="C319" s="8" t="n"/>
      <c r="D319" s="8" t="n"/>
      <c r="E319" s="16" t="n"/>
      <c r="F319" s="16" t="n"/>
      <c r="G319" s="17">
        <f>IF(E319="","",E319+IF(F319="",0,F319))</f>
        <v/>
      </c>
      <c r="H319" s="8" t="n"/>
      <c r="I319" s="17">
        <f>IF(E319="","",IF(H319="Vendida",E319*Resumen!$B$3,0))</f>
        <v/>
      </c>
      <c r="J319" s="16" t="n"/>
      <c r="K319" s="17">
        <f>IF(I319="","",MAX(0,I319-IF(J319="",0,J319)))</f>
        <v/>
      </c>
      <c r="L319" s="8" t="n"/>
    </row>
    <row r="320">
      <c r="A320" s="15" t="n"/>
      <c r="B320" s="8" t="n"/>
      <c r="C320" s="8" t="n"/>
      <c r="D320" s="8" t="n"/>
      <c r="E320" s="16" t="n"/>
      <c r="F320" s="16" t="n"/>
      <c r="G320" s="17">
        <f>IF(E320="","",E320+IF(F320="",0,F320))</f>
        <v/>
      </c>
      <c r="H320" s="8" t="n"/>
      <c r="I320" s="17">
        <f>IF(E320="","",IF(H320="Vendida",E320*Resumen!$B$3,0))</f>
        <v/>
      </c>
      <c r="J320" s="16" t="n"/>
      <c r="K320" s="17">
        <f>IF(I320="","",MAX(0,I320-IF(J320="",0,J320)))</f>
        <v/>
      </c>
      <c r="L320" s="8" t="n"/>
    </row>
    <row r="321">
      <c r="A321" s="15" t="n"/>
      <c r="B321" s="8" t="n"/>
      <c r="C321" s="8" t="n"/>
      <c r="D321" s="8" t="n"/>
      <c r="E321" s="16" t="n"/>
      <c r="F321" s="16" t="n"/>
      <c r="G321" s="17">
        <f>IF(E321="","",E321+IF(F321="",0,F321))</f>
        <v/>
      </c>
      <c r="H321" s="8" t="n"/>
      <c r="I321" s="17">
        <f>IF(E321="","",IF(H321="Vendida",E321*Resumen!$B$3,0))</f>
        <v/>
      </c>
      <c r="J321" s="16" t="n"/>
      <c r="K321" s="17">
        <f>IF(I321="","",MAX(0,I321-IF(J321="",0,J321)))</f>
        <v/>
      </c>
      <c r="L321" s="8" t="n"/>
    </row>
    <row r="322">
      <c r="A322" s="15" t="n"/>
      <c r="B322" s="8" t="n"/>
      <c r="C322" s="8" t="n"/>
      <c r="D322" s="8" t="n"/>
      <c r="E322" s="16" t="n"/>
      <c r="F322" s="16" t="n"/>
      <c r="G322" s="17">
        <f>IF(E322="","",E322+IF(F322="",0,F322))</f>
        <v/>
      </c>
      <c r="H322" s="8" t="n"/>
      <c r="I322" s="17">
        <f>IF(E322="","",IF(H322="Vendida",E322*Resumen!$B$3,0))</f>
        <v/>
      </c>
      <c r="J322" s="16" t="n"/>
      <c r="K322" s="17">
        <f>IF(I322="","",MAX(0,I322-IF(J322="",0,J322)))</f>
        <v/>
      </c>
      <c r="L322" s="8" t="n"/>
    </row>
    <row r="323">
      <c r="A323" s="15" t="n"/>
      <c r="B323" s="8" t="n"/>
      <c r="C323" s="8" t="n"/>
      <c r="D323" s="8" t="n"/>
      <c r="E323" s="16" t="n"/>
      <c r="F323" s="16" t="n"/>
      <c r="G323" s="17">
        <f>IF(E323="","",E323+IF(F323="",0,F323))</f>
        <v/>
      </c>
      <c r="H323" s="8" t="n"/>
      <c r="I323" s="17">
        <f>IF(E323="","",IF(H323="Vendida",E323*Resumen!$B$3,0))</f>
        <v/>
      </c>
      <c r="J323" s="16" t="n"/>
      <c r="K323" s="17">
        <f>IF(I323="","",MAX(0,I323-IF(J323="",0,J323)))</f>
        <v/>
      </c>
      <c r="L323" s="8" t="n"/>
    </row>
    <row r="324">
      <c r="A324" s="15" t="n"/>
      <c r="B324" s="8" t="n"/>
      <c r="C324" s="8" t="n"/>
      <c r="D324" s="8" t="n"/>
      <c r="E324" s="16" t="n"/>
      <c r="F324" s="16" t="n"/>
      <c r="G324" s="17">
        <f>IF(E324="","",E324+IF(F324="",0,F324))</f>
        <v/>
      </c>
      <c r="H324" s="8" t="n"/>
      <c r="I324" s="17">
        <f>IF(E324="","",IF(H324="Vendida",E324*Resumen!$B$3,0))</f>
        <v/>
      </c>
      <c r="J324" s="16" t="n"/>
      <c r="K324" s="17">
        <f>IF(I324="","",MAX(0,I324-IF(J324="",0,J324)))</f>
        <v/>
      </c>
      <c r="L324" s="8" t="n"/>
    </row>
    <row r="325">
      <c r="A325" s="15" t="n"/>
      <c r="B325" s="8" t="n"/>
      <c r="C325" s="8" t="n"/>
      <c r="D325" s="8" t="n"/>
      <c r="E325" s="16" t="n"/>
      <c r="F325" s="16" t="n"/>
      <c r="G325" s="17">
        <f>IF(E325="","",E325+IF(F325="",0,F325))</f>
        <v/>
      </c>
      <c r="H325" s="8" t="n"/>
      <c r="I325" s="17">
        <f>IF(E325="","",IF(H325="Vendida",E325*Resumen!$B$3,0))</f>
        <v/>
      </c>
      <c r="J325" s="16" t="n"/>
      <c r="K325" s="17">
        <f>IF(I325="","",MAX(0,I325-IF(J325="",0,J325)))</f>
        <v/>
      </c>
      <c r="L325" s="8" t="n"/>
    </row>
    <row r="326">
      <c r="A326" s="15" t="n"/>
      <c r="B326" s="8" t="n"/>
      <c r="C326" s="8" t="n"/>
      <c r="D326" s="8" t="n"/>
      <c r="E326" s="16" t="n"/>
      <c r="F326" s="16" t="n"/>
      <c r="G326" s="17">
        <f>IF(E326="","",E326+IF(F326="",0,F326))</f>
        <v/>
      </c>
      <c r="H326" s="8" t="n"/>
      <c r="I326" s="17">
        <f>IF(E326="","",IF(H326="Vendida",E326*Resumen!$B$3,0))</f>
        <v/>
      </c>
      <c r="J326" s="16" t="n"/>
      <c r="K326" s="17">
        <f>IF(I326="","",MAX(0,I326-IF(J326="",0,J326)))</f>
        <v/>
      </c>
      <c r="L326" s="8" t="n"/>
    </row>
    <row r="327">
      <c r="A327" s="15" t="n"/>
      <c r="B327" s="8" t="n"/>
      <c r="C327" s="8" t="n"/>
      <c r="D327" s="8" t="n"/>
      <c r="E327" s="16" t="n"/>
      <c r="F327" s="16" t="n"/>
      <c r="G327" s="17">
        <f>IF(E327="","",E327+IF(F327="",0,F327))</f>
        <v/>
      </c>
      <c r="H327" s="8" t="n"/>
      <c r="I327" s="17">
        <f>IF(E327="","",IF(H327="Vendida",E327*Resumen!$B$3,0))</f>
        <v/>
      </c>
      <c r="J327" s="16" t="n"/>
      <c r="K327" s="17">
        <f>IF(I327="","",MAX(0,I327-IF(J327="",0,J327)))</f>
        <v/>
      </c>
      <c r="L327" s="8" t="n"/>
    </row>
    <row r="328">
      <c r="A328" s="15" t="n"/>
      <c r="B328" s="8" t="n"/>
      <c r="C328" s="8" t="n"/>
      <c r="D328" s="8" t="n"/>
      <c r="E328" s="16" t="n"/>
      <c r="F328" s="16" t="n"/>
      <c r="G328" s="17">
        <f>IF(E328="","",E328+IF(F328="",0,F328))</f>
        <v/>
      </c>
      <c r="H328" s="8" t="n"/>
      <c r="I328" s="17">
        <f>IF(E328="","",IF(H328="Vendida",E328*Resumen!$B$3,0))</f>
        <v/>
      </c>
      <c r="J328" s="16" t="n"/>
      <c r="K328" s="17">
        <f>IF(I328="","",MAX(0,I328-IF(J328="",0,J328)))</f>
        <v/>
      </c>
      <c r="L328" s="8" t="n"/>
    </row>
    <row r="329">
      <c r="A329" s="15" t="n"/>
      <c r="B329" s="8" t="n"/>
      <c r="C329" s="8" t="n"/>
      <c r="D329" s="8" t="n"/>
      <c r="E329" s="16" t="n"/>
      <c r="F329" s="16" t="n"/>
      <c r="G329" s="17">
        <f>IF(E329="","",E329+IF(F329="",0,F329))</f>
        <v/>
      </c>
      <c r="H329" s="8" t="n"/>
      <c r="I329" s="17">
        <f>IF(E329="","",IF(H329="Vendida",E329*Resumen!$B$3,0))</f>
        <v/>
      </c>
      <c r="J329" s="16" t="n"/>
      <c r="K329" s="17">
        <f>IF(I329="","",MAX(0,I329-IF(J329="",0,J329)))</f>
        <v/>
      </c>
      <c r="L329" s="8" t="n"/>
    </row>
    <row r="330">
      <c r="A330" s="15" t="n"/>
      <c r="B330" s="8" t="n"/>
      <c r="C330" s="8" t="n"/>
      <c r="D330" s="8" t="n"/>
      <c r="E330" s="16" t="n"/>
      <c r="F330" s="16" t="n"/>
      <c r="G330" s="17">
        <f>IF(E330="","",E330+IF(F330="",0,F330))</f>
        <v/>
      </c>
      <c r="H330" s="8" t="n"/>
      <c r="I330" s="17">
        <f>IF(E330="","",IF(H330="Vendida",E330*Resumen!$B$3,0))</f>
        <v/>
      </c>
      <c r="J330" s="16" t="n"/>
      <c r="K330" s="17">
        <f>IF(I330="","",MAX(0,I330-IF(J330="",0,J330)))</f>
        <v/>
      </c>
      <c r="L330" s="8" t="n"/>
    </row>
    <row r="331">
      <c r="A331" s="15" t="n"/>
      <c r="B331" s="8" t="n"/>
      <c r="C331" s="8" t="n"/>
      <c r="D331" s="8" t="n"/>
      <c r="E331" s="16" t="n"/>
      <c r="F331" s="16" t="n"/>
      <c r="G331" s="17">
        <f>IF(E331="","",E331+IF(F331="",0,F331))</f>
        <v/>
      </c>
      <c r="H331" s="8" t="n"/>
      <c r="I331" s="17">
        <f>IF(E331="","",IF(H331="Vendida",E331*Resumen!$B$3,0))</f>
        <v/>
      </c>
      <c r="J331" s="16" t="n"/>
      <c r="K331" s="17">
        <f>IF(I331="","",MAX(0,I331-IF(J331="",0,J331)))</f>
        <v/>
      </c>
      <c r="L331" s="8" t="n"/>
    </row>
    <row r="332">
      <c r="A332" s="15" t="n"/>
      <c r="B332" s="8" t="n"/>
      <c r="C332" s="8" t="n"/>
      <c r="D332" s="8" t="n"/>
      <c r="E332" s="16" t="n"/>
      <c r="F332" s="16" t="n"/>
      <c r="G332" s="17">
        <f>IF(E332="","",E332+IF(F332="",0,F332))</f>
        <v/>
      </c>
      <c r="H332" s="8" t="n"/>
      <c r="I332" s="17">
        <f>IF(E332="","",IF(H332="Vendida",E332*Resumen!$B$3,0))</f>
        <v/>
      </c>
      <c r="J332" s="16" t="n"/>
      <c r="K332" s="17">
        <f>IF(I332="","",MAX(0,I332-IF(J332="",0,J332)))</f>
        <v/>
      </c>
      <c r="L332" s="8" t="n"/>
    </row>
    <row r="333">
      <c r="A333" s="15" t="n"/>
      <c r="B333" s="8" t="n"/>
      <c r="C333" s="8" t="n"/>
      <c r="D333" s="8" t="n"/>
      <c r="E333" s="16" t="n"/>
      <c r="F333" s="16" t="n"/>
      <c r="G333" s="17">
        <f>IF(E333="","",E333+IF(F333="",0,F333))</f>
        <v/>
      </c>
      <c r="H333" s="8" t="n"/>
      <c r="I333" s="17">
        <f>IF(E333="","",IF(H333="Vendida",E333*Resumen!$B$3,0))</f>
        <v/>
      </c>
      <c r="J333" s="16" t="n"/>
      <c r="K333" s="17">
        <f>IF(I333="","",MAX(0,I333-IF(J333="",0,J333)))</f>
        <v/>
      </c>
      <c r="L333" s="8" t="n"/>
    </row>
    <row r="334">
      <c r="A334" s="15" t="n"/>
      <c r="B334" s="8" t="n"/>
      <c r="C334" s="8" t="n"/>
      <c r="D334" s="8" t="n"/>
      <c r="E334" s="16" t="n"/>
      <c r="F334" s="16" t="n"/>
      <c r="G334" s="17">
        <f>IF(E334="","",E334+IF(F334="",0,F334))</f>
        <v/>
      </c>
      <c r="H334" s="8" t="n"/>
      <c r="I334" s="17">
        <f>IF(E334="","",IF(H334="Vendida",E334*Resumen!$B$3,0))</f>
        <v/>
      </c>
      <c r="J334" s="16" t="n"/>
      <c r="K334" s="17">
        <f>IF(I334="","",MAX(0,I334-IF(J334="",0,J334)))</f>
        <v/>
      </c>
      <c r="L334" s="8" t="n"/>
    </row>
    <row r="335">
      <c r="A335" s="15" t="n"/>
      <c r="B335" s="8" t="n"/>
      <c r="C335" s="8" t="n"/>
      <c r="D335" s="8" t="n"/>
      <c r="E335" s="16" t="n"/>
      <c r="F335" s="16" t="n"/>
      <c r="G335" s="17">
        <f>IF(E335="","",E335+IF(F335="",0,F335))</f>
        <v/>
      </c>
      <c r="H335" s="8" t="n"/>
      <c r="I335" s="17">
        <f>IF(E335="","",IF(H335="Vendida",E335*Resumen!$B$3,0))</f>
        <v/>
      </c>
      <c r="J335" s="16" t="n"/>
      <c r="K335" s="17">
        <f>IF(I335="","",MAX(0,I335-IF(J335="",0,J335)))</f>
        <v/>
      </c>
      <c r="L335" s="8" t="n"/>
    </row>
    <row r="336">
      <c r="A336" s="15" t="n"/>
      <c r="B336" s="8" t="n"/>
      <c r="C336" s="8" t="n"/>
      <c r="D336" s="8" t="n"/>
      <c r="E336" s="16" t="n"/>
      <c r="F336" s="16" t="n"/>
      <c r="G336" s="17">
        <f>IF(E336="","",E336+IF(F336="",0,F336))</f>
        <v/>
      </c>
      <c r="H336" s="8" t="n"/>
      <c r="I336" s="17">
        <f>IF(E336="","",IF(H336="Vendida",E336*Resumen!$B$3,0))</f>
        <v/>
      </c>
      <c r="J336" s="16" t="n"/>
      <c r="K336" s="17">
        <f>IF(I336="","",MAX(0,I336-IF(J336="",0,J336)))</f>
        <v/>
      </c>
      <c r="L336" s="8" t="n"/>
    </row>
    <row r="337">
      <c r="A337" s="15" t="n"/>
      <c r="B337" s="8" t="n"/>
      <c r="C337" s="8" t="n"/>
      <c r="D337" s="8" t="n"/>
      <c r="E337" s="16" t="n"/>
      <c r="F337" s="16" t="n"/>
      <c r="G337" s="17">
        <f>IF(E337="","",E337+IF(F337="",0,F337))</f>
        <v/>
      </c>
      <c r="H337" s="8" t="n"/>
      <c r="I337" s="17">
        <f>IF(E337="","",IF(H337="Vendida",E337*Resumen!$B$3,0))</f>
        <v/>
      </c>
      <c r="J337" s="16" t="n"/>
      <c r="K337" s="17">
        <f>IF(I337="","",MAX(0,I337-IF(J337="",0,J337)))</f>
        <v/>
      </c>
      <c r="L337" s="8" t="n"/>
    </row>
    <row r="338">
      <c r="A338" s="15" t="n"/>
      <c r="B338" s="8" t="n"/>
      <c r="C338" s="8" t="n"/>
      <c r="D338" s="8" t="n"/>
      <c r="E338" s="16" t="n"/>
      <c r="F338" s="16" t="n"/>
      <c r="G338" s="17">
        <f>IF(E338="","",E338+IF(F338="",0,F338))</f>
        <v/>
      </c>
      <c r="H338" s="8" t="n"/>
      <c r="I338" s="17">
        <f>IF(E338="","",IF(H338="Vendida",E338*Resumen!$B$3,0))</f>
        <v/>
      </c>
      <c r="J338" s="16" t="n"/>
      <c r="K338" s="17">
        <f>IF(I338="","",MAX(0,I338-IF(J338="",0,J338)))</f>
        <v/>
      </c>
      <c r="L338" s="8" t="n"/>
    </row>
    <row r="339">
      <c r="A339" s="15" t="n"/>
      <c r="B339" s="8" t="n"/>
      <c r="C339" s="8" t="n"/>
      <c r="D339" s="8" t="n"/>
      <c r="E339" s="16" t="n"/>
      <c r="F339" s="16" t="n"/>
      <c r="G339" s="17">
        <f>IF(E339="","",E339+IF(F339="",0,F339))</f>
        <v/>
      </c>
      <c r="H339" s="8" t="n"/>
      <c r="I339" s="17">
        <f>IF(E339="","",IF(H339="Vendida",E339*Resumen!$B$3,0))</f>
        <v/>
      </c>
      <c r="J339" s="16" t="n"/>
      <c r="K339" s="17">
        <f>IF(I339="","",MAX(0,I339-IF(J339="",0,J339)))</f>
        <v/>
      </c>
      <c r="L339" s="8" t="n"/>
    </row>
    <row r="340">
      <c r="A340" s="15" t="n"/>
      <c r="B340" s="8" t="n"/>
      <c r="C340" s="8" t="n"/>
      <c r="D340" s="8" t="n"/>
      <c r="E340" s="16" t="n"/>
      <c r="F340" s="16" t="n"/>
      <c r="G340" s="17">
        <f>IF(E340="","",E340+IF(F340="",0,F340))</f>
        <v/>
      </c>
      <c r="H340" s="8" t="n"/>
      <c r="I340" s="17">
        <f>IF(E340="","",IF(H340="Vendida",E340*Resumen!$B$3,0))</f>
        <v/>
      </c>
      <c r="J340" s="16" t="n"/>
      <c r="K340" s="17">
        <f>IF(I340="","",MAX(0,I340-IF(J340="",0,J340)))</f>
        <v/>
      </c>
      <c r="L340" s="8" t="n"/>
    </row>
    <row r="341">
      <c r="A341" s="15" t="n"/>
      <c r="B341" s="8" t="n"/>
      <c r="C341" s="8" t="n"/>
      <c r="D341" s="8" t="n"/>
      <c r="E341" s="16" t="n"/>
      <c r="F341" s="16" t="n"/>
      <c r="G341" s="17">
        <f>IF(E341="","",E341+IF(F341="",0,F341))</f>
        <v/>
      </c>
      <c r="H341" s="8" t="n"/>
      <c r="I341" s="17">
        <f>IF(E341="","",IF(H341="Vendida",E341*Resumen!$B$3,0))</f>
        <v/>
      </c>
      <c r="J341" s="16" t="n"/>
      <c r="K341" s="17">
        <f>IF(I341="","",MAX(0,I341-IF(J341="",0,J341)))</f>
        <v/>
      </c>
      <c r="L341" s="8" t="n"/>
    </row>
    <row r="342">
      <c r="A342" s="15" t="n"/>
      <c r="B342" s="8" t="n"/>
      <c r="C342" s="8" t="n"/>
      <c r="D342" s="8" t="n"/>
      <c r="E342" s="16" t="n"/>
      <c r="F342" s="16" t="n"/>
      <c r="G342" s="17">
        <f>IF(E342="","",E342+IF(F342="",0,F342))</f>
        <v/>
      </c>
      <c r="H342" s="8" t="n"/>
      <c r="I342" s="17">
        <f>IF(E342="","",IF(H342="Vendida",E342*Resumen!$B$3,0))</f>
        <v/>
      </c>
      <c r="J342" s="16" t="n"/>
      <c r="K342" s="17">
        <f>IF(I342="","",MAX(0,I342-IF(J342="",0,J342)))</f>
        <v/>
      </c>
      <c r="L342" s="8" t="n"/>
    </row>
    <row r="343">
      <c r="A343" s="15" t="n"/>
      <c r="B343" s="8" t="n"/>
      <c r="C343" s="8" t="n"/>
      <c r="D343" s="8" t="n"/>
      <c r="E343" s="16" t="n"/>
      <c r="F343" s="16" t="n"/>
      <c r="G343" s="17">
        <f>IF(E343="","",E343+IF(F343="",0,F343))</f>
        <v/>
      </c>
      <c r="H343" s="8" t="n"/>
      <c r="I343" s="17">
        <f>IF(E343="","",IF(H343="Vendida",E343*Resumen!$B$3,0))</f>
        <v/>
      </c>
      <c r="J343" s="16" t="n"/>
      <c r="K343" s="17">
        <f>IF(I343="","",MAX(0,I343-IF(J343="",0,J343)))</f>
        <v/>
      </c>
      <c r="L343" s="8" t="n"/>
    </row>
    <row r="344">
      <c r="A344" s="15" t="n"/>
      <c r="B344" s="8" t="n"/>
      <c r="C344" s="8" t="n"/>
      <c r="D344" s="8" t="n"/>
      <c r="E344" s="16" t="n"/>
      <c r="F344" s="16" t="n"/>
      <c r="G344" s="17">
        <f>IF(E344="","",E344+IF(F344="",0,F344))</f>
        <v/>
      </c>
      <c r="H344" s="8" t="n"/>
      <c r="I344" s="17">
        <f>IF(E344="","",IF(H344="Vendida",E344*Resumen!$B$3,0))</f>
        <v/>
      </c>
      <c r="J344" s="16" t="n"/>
      <c r="K344" s="17">
        <f>IF(I344="","",MAX(0,I344-IF(J344="",0,J344)))</f>
        <v/>
      </c>
      <c r="L344" s="8" t="n"/>
    </row>
    <row r="345">
      <c r="A345" s="15" t="n"/>
      <c r="B345" s="8" t="n"/>
      <c r="C345" s="8" t="n"/>
      <c r="D345" s="8" t="n"/>
      <c r="E345" s="16" t="n"/>
      <c r="F345" s="16" t="n"/>
      <c r="G345" s="17">
        <f>IF(E345="","",E345+IF(F345="",0,F345))</f>
        <v/>
      </c>
      <c r="H345" s="8" t="n"/>
      <c r="I345" s="17">
        <f>IF(E345="","",IF(H345="Vendida",E345*Resumen!$B$3,0))</f>
        <v/>
      </c>
      <c r="J345" s="16" t="n"/>
      <c r="K345" s="17">
        <f>IF(I345="","",MAX(0,I345-IF(J345="",0,J345)))</f>
        <v/>
      </c>
      <c r="L345" s="8" t="n"/>
    </row>
    <row r="346">
      <c r="A346" s="15" t="n"/>
      <c r="B346" s="8" t="n"/>
      <c r="C346" s="8" t="n"/>
      <c r="D346" s="8" t="n"/>
      <c r="E346" s="16" t="n"/>
      <c r="F346" s="16" t="n"/>
      <c r="G346" s="17">
        <f>IF(E346="","",E346+IF(F346="",0,F346))</f>
        <v/>
      </c>
      <c r="H346" s="8" t="n"/>
      <c r="I346" s="17">
        <f>IF(E346="","",IF(H346="Vendida",E346*Resumen!$B$3,0))</f>
        <v/>
      </c>
      <c r="J346" s="16" t="n"/>
      <c r="K346" s="17">
        <f>IF(I346="","",MAX(0,I346-IF(J346="",0,J346)))</f>
        <v/>
      </c>
      <c r="L346" s="8" t="n"/>
    </row>
    <row r="347">
      <c r="A347" s="15" t="n"/>
      <c r="B347" s="8" t="n"/>
      <c r="C347" s="8" t="n"/>
      <c r="D347" s="8" t="n"/>
      <c r="E347" s="16" t="n"/>
      <c r="F347" s="16" t="n"/>
      <c r="G347" s="17">
        <f>IF(E347="","",E347+IF(F347="",0,F347))</f>
        <v/>
      </c>
      <c r="H347" s="8" t="n"/>
      <c r="I347" s="17">
        <f>IF(E347="","",IF(H347="Vendida",E347*Resumen!$B$3,0))</f>
        <v/>
      </c>
      <c r="J347" s="16" t="n"/>
      <c r="K347" s="17">
        <f>IF(I347="","",MAX(0,I347-IF(J347="",0,J347)))</f>
        <v/>
      </c>
      <c r="L347" s="8" t="n"/>
    </row>
    <row r="348">
      <c r="A348" s="15" t="n"/>
      <c r="B348" s="8" t="n"/>
      <c r="C348" s="8" t="n"/>
      <c r="D348" s="8" t="n"/>
      <c r="E348" s="16" t="n"/>
      <c r="F348" s="16" t="n"/>
      <c r="G348" s="17">
        <f>IF(E348="","",E348+IF(F348="",0,F348))</f>
        <v/>
      </c>
      <c r="H348" s="8" t="n"/>
      <c r="I348" s="17">
        <f>IF(E348="","",IF(H348="Vendida",E348*Resumen!$B$3,0))</f>
        <v/>
      </c>
      <c r="J348" s="16" t="n"/>
      <c r="K348" s="17">
        <f>IF(I348="","",MAX(0,I348-IF(J348="",0,J348)))</f>
        <v/>
      </c>
      <c r="L348" s="8" t="n"/>
    </row>
    <row r="349">
      <c r="A349" s="15" t="n"/>
      <c r="B349" s="8" t="n"/>
      <c r="C349" s="8" t="n"/>
      <c r="D349" s="8" t="n"/>
      <c r="E349" s="16" t="n"/>
      <c r="F349" s="16" t="n"/>
      <c r="G349" s="17">
        <f>IF(E349="","",E349+IF(F349="",0,F349))</f>
        <v/>
      </c>
      <c r="H349" s="8" t="n"/>
      <c r="I349" s="17">
        <f>IF(E349="","",IF(H349="Vendida",E349*Resumen!$B$3,0))</f>
        <v/>
      </c>
      <c r="J349" s="16" t="n"/>
      <c r="K349" s="17">
        <f>IF(I349="","",MAX(0,I349-IF(J349="",0,J349)))</f>
        <v/>
      </c>
      <c r="L349" s="8" t="n"/>
    </row>
    <row r="350">
      <c r="A350" s="15" t="n"/>
      <c r="B350" s="8" t="n"/>
      <c r="C350" s="8" t="n"/>
      <c r="D350" s="8" t="n"/>
      <c r="E350" s="16" t="n"/>
      <c r="F350" s="16" t="n"/>
      <c r="G350" s="17">
        <f>IF(E350="","",E350+IF(F350="",0,F350))</f>
        <v/>
      </c>
      <c r="H350" s="8" t="n"/>
      <c r="I350" s="17">
        <f>IF(E350="","",IF(H350="Vendida",E350*Resumen!$B$3,0))</f>
        <v/>
      </c>
      <c r="J350" s="16" t="n"/>
      <c r="K350" s="17">
        <f>IF(I350="","",MAX(0,I350-IF(J350="",0,J350)))</f>
        <v/>
      </c>
      <c r="L350" s="8" t="n"/>
    </row>
    <row r="351">
      <c r="A351" s="15" t="n"/>
      <c r="B351" s="8" t="n"/>
      <c r="C351" s="8" t="n"/>
      <c r="D351" s="8" t="n"/>
      <c r="E351" s="16" t="n"/>
      <c r="F351" s="16" t="n"/>
      <c r="G351" s="17">
        <f>IF(E351="","",E351+IF(F351="",0,F351))</f>
        <v/>
      </c>
      <c r="H351" s="8" t="n"/>
      <c r="I351" s="17">
        <f>IF(E351="","",IF(H351="Vendida",E351*Resumen!$B$3,0))</f>
        <v/>
      </c>
      <c r="J351" s="16" t="n"/>
      <c r="K351" s="17">
        <f>IF(I351="","",MAX(0,I351-IF(J351="",0,J351)))</f>
        <v/>
      </c>
      <c r="L351" s="8" t="n"/>
    </row>
    <row r="352">
      <c r="A352" s="15" t="n"/>
      <c r="B352" s="8" t="n"/>
      <c r="C352" s="8" t="n"/>
      <c r="D352" s="8" t="n"/>
      <c r="E352" s="16" t="n"/>
      <c r="F352" s="16" t="n"/>
      <c r="G352" s="17">
        <f>IF(E352="","",E352+IF(F352="",0,F352))</f>
        <v/>
      </c>
      <c r="H352" s="8" t="n"/>
      <c r="I352" s="17">
        <f>IF(E352="","",IF(H352="Vendida",E352*Resumen!$B$3,0))</f>
        <v/>
      </c>
      <c r="J352" s="16" t="n"/>
      <c r="K352" s="17">
        <f>IF(I352="","",MAX(0,I352-IF(J352="",0,J352)))</f>
        <v/>
      </c>
      <c r="L352" s="8" t="n"/>
    </row>
    <row r="353">
      <c r="A353" s="15" t="n"/>
      <c r="B353" s="8" t="n"/>
      <c r="C353" s="8" t="n"/>
      <c r="D353" s="8" t="n"/>
      <c r="E353" s="16" t="n"/>
      <c r="F353" s="16" t="n"/>
      <c r="G353" s="17">
        <f>IF(E353="","",E353+IF(F353="",0,F353))</f>
        <v/>
      </c>
      <c r="H353" s="8" t="n"/>
      <c r="I353" s="17">
        <f>IF(E353="","",IF(H353="Vendida",E353*Resumen!$B$3,0))</f>
        <v/>
      </c>
      <c r="J353" s="16" t="n"/>
      <c r="K353" s="17">
        <f>IF(I353="","",MAX(0,I353-IF(J353="",0,J353)))</f>
        <v/>
      </c>
      <c r="L353" s="8" t="n"/>
    </row>
    <row r="354">
      <c r="A354" s="15" t="n"/>
      <c r="B354" s="8" t="n"/>
      <c r="C354" s="8" t="n"/>
      <c r="D354" s="8" t="n"/>
      <c r="E354" s="16" t="n"/>
      <c r="F354" s="16" t="n"/>
      <c r="G354" s="17">
        <f>IF(E354="","",E354+IF(F354="",0,F354))</f>
        <v/>
      </c>
      <c r="H354" s="8" t="n"/>
      <c r="I354" s="17">
        <f>IF(E354="","",IF(H354="Vendida",E354*Resumen!$B$3,0))</f>
        <v/>
      </c>
      <c r="J354" s="16" t="n"/>
      <c r="K354" s="17">
        <f>IF(I354="","",MAX(0,I354-IF(J354="",0,J354)))</f>
        <v/>
      </c>
      <c r="L354" s="8" t="n"/>
    </row>
    <row r="355">
      <c r="A355" s="15" t="n"/>
      <c r="B355" s="8" t="n"/>
      <c r="C355" s="8" t="n"/>
      <c r="D355" s="8" t="n"/>
      <c r="E355" s="16" t="n"/>
      <c r="F355" s="16" t="n"/>
      <c r="G355" s="17">
        <f>IF(E355="","",E355+IF(F355="",0,F355))</f>
        <v/>
      </c>
      <c r="H355" s="8" t="n"/>
      <c r="I355" s="17">
        <f>IF(E355="","",IF(H355="Vendida",E355*Resumen!$B$3,0))</f>
        <v/>
      </c>
      <c r="J355" s="16" t="n"/>
      <c r="K355" s="17">
        <f>IF(I355="","",MAX(0,I355-IF(J355="",0,J355)))</f>
        <v/>
      </c>
      <c r="L355" s="8" t="n"/>
    </row>
    <row r="356">
      <c r="A356" s="15" t="n"/>
      <c r="B356" s="8" t="n"/>
      <c r="C356" s="8" t="n"/>
      <c r="D356" s="8" t="n"/>
      <c r="E356" s="16" t="n"/>
      <c r="F356" s="16" t="n"/>
      <c r="G356" s="17">
        <f>IF(E356="","",E356+IF(F356="",0,F356))</f>
        <v/>
      </c>
      <c r="H356" s="8" t="n"/>
      <c r="I356" s="17">
        <f>IF(E356="","",IF(H356="Vendida",E356*Resumen!$B$3,0))</f>
        <v/>
      </c>
      <c r="J356" s="16" t="n"/>
      <c r="K356" s="17">
        <f>IF(I356="","",MAX(0,I356-IF(J356="",0,J356)))</f>
        <v/>
      </c>
      <c r="L356" s="8" t="n"/>
    </row>
    <row r="357">
      <c r="A357" s="15" t="n"/>
      <c r="B357" s="8" t="n"/>
      <c r="C357" s="8" t="n"/>
      <c r="D357" s="8" t="n"/>
      <c r="E357" s="16" t="n"/>
      <c r="F357" s="16" t="n"/>
      <c r="G357" s="17">
        <f>IF(E357="","",E357+IF(F357="",0,F357))</f>
        <v/>
      </c>
      <c r="H357" s="8" t="n"/>
      <c r="I357" s="17">
        <f>IF(E357="","",IF(H357="Vendida",E357*Resumen!$B$3,0))</f>
        <v/>
      </c>
      <c r="J357" s="16" t="n"/>
      <c r="K357" s="17">
        <f>IF(I357="","",MAX(0,I357-IF(J357="",0,J357)))</f>
        <v/>
      </c>
      <c r="L357" s="8" t="n"/>
    </row>
    <row r="358">
      <c r="A358" s="15" t="n"/>
      <c r="B358" s="8" t="n"/>
      <c r="C358" s="8" t="n"/>
      <c r="D358" s="8" t="n"/>
      <c r="E358" s="16" t="n"/>
      <c r="F358" s="16" t="n"/>
      <c r="G358" s="17">
        <f>IF(E358="","",E358+IF(F358="",0,F358))</f>
        <v/>
      </c>
      <c r="H358" s="8" t="n"/>
      <c r="I358" s="17">
        <f>IF(E358="","",IF(H358="Vendida",E358*Resumen!$B$3,0))</f>
        <v/>
      </c>
      <c r="J358" s="16" t="n"/>
      <c r="K358" s="17">
        <f>IF(I358="","",MAX(0,I358-IF(J358="",0,J358)))</f>
        <v/>
      </c>
      <c r="L358" s="8" t="n"/>
    </row>
    <row r="359">
      <c r="A359" s="15" t="n"/>
      <c r="B359" s="8" t="n"/>
      <c r="C359" s="8" t="n"/>
      <c r="D359" s="8" t="n"/>
      <c r="E359" s="16" t="n"/>
      <c r="F359" s="16" t="n"/>
      <c r="G359" s="17">
        <f>IF(E359="","",E359+IF(F359="",0,F359))</f>
        <v/>
      </c>
      <c r="H359" s="8" t="n"/>
      <c r="I359" s="17">
        <f>IF(E359="","",IF(H359="Vendida",E359*Resumen!$B$3,0))</f>
        <v/>
      </c>
      <c r="J359" s="16" t="n"/>
      <c r="K359" s="17">
        <f>IF(I359="","",MAX(0,I359-IF(J359="",0,J359)))</f>
        <v/>
      </c>
      <c r="L359" s="8" t="n"/>
    </row>
    <row r="360">
      <c r="A360" s="15" t="n"/>
      <c r="B360" s="8" t="n"/>
      <c r="C360" s="8" t="n"/>
      <c r="D360" s="8" t="n"/>
      <c r="E360" s="16" t="n"/>
      <c r="F360" s="16" t="n"/>
      <c r="G360" s="17">
        <f>IF(E360="","",E360+IF(F360="",0,F360))</f>
        <v/>
      </c>
      <c r="H360" s="8" t="n"/>
      <c r="I360" s="17">
        <f>IF(E360="","",IF(H360="Vendida",E360*Resumen!$B$3,0))</f>
        <v/>
      </c>
      <c r="J360" s="16" t="n"/>
      <c r="K360" s="17">
        <f>IF(I360="","",MAX(0,I360-IF(J360="",0,J360)))</f>
        <v/>
      </c>
      <c r="L360" s="8" t="n"/>
    </row>
    <row r="361">
      <c r="A361" s="15" t="n"/>
      <c r="B361" s="8" t="n"/>
      <c r="C361" s="8" t="n"/>
      <c r="D361" s="8" t="n"/>
      <c r="E361" s="16" t="n"/>
      <c r="F361" s="16" t="n"/>
      <c r="G361" s="17">
        <f>IF(E361="","",E361+IF(F361="",0,F361))</f>
        <v/>
      </c>
      <c r="H361" s="8" t="n"/>
      <c r="I361" s="17">
        <f>IF(E361="","",IF(H361="Vendida",E361*Resumen!$B$3,0))</f>
        <v/>
      </c>
      <c r="J361" s="16" t="n"/>
      <c r="K361" s="17">
        <f>IF(I361="","",MAX(0,I361-IF(J361="",0,J361)))</f>
        <v/>
      </c>
      <c r="L361" s="8" t="n"/>
    </row>
    <row r="362">
      <c r="A362" s="15" t="n"/>
      <c r="B362" s="8" t="n"/>
      <c r="C362" s="8" t="n"/>
      <c r="D362" s="8" t="n"/>
      <c r="E362" s="16" t="n"/>
      <c r="F362" s="16" t="n"/>
      <c r="G362" s="17">
        <f>IF(E362="","",E362+IF(F362="",0,F362))</f>
        <v/>
      </c>
      <c r="H362" s="8" t="n"/>
      <c r="I362" s="17">
        <f>IF(E362="","",IF(H362="Vendida",E362*Resumen!$B$3,0))</f>
        <v/>
      </c>
      <c r="J362" s="16" t="n"/>
      <c r="K362" s="17">
        <f>IF(I362="","",MAX(0,I362-IF(J362="",0,J362)))</f>
        <v/>
      </c>
      <c r="L362" s="8" t="n"/>
    </row>
    <row r="363">
      <c r="A363" s="15" t="n"/>
      <c r="B363" s="8" t="n"/>
      <c r="C363" s="8" t="n"/>
      <c r="D363" s="8" t="n"/>
      <c r="E363" s="16" t="n"/>
      <c r="F363" s="16" t="n"/>
      <c r="G363" s="17">
        <f>IF(E363="","",E363+IF(F363="",0,F363))</f>
        <v/>
      </c>
      <c r="H363" s="8" t="n"/>
      <c r="I363" s="17">
        <f>IF(E363="","",IF(H363="Vendida",E363*Resumen!$B$3,0))</f>
        <v/>
      </c>
      <c r="J363" s="16" t="n"/>
      <c r="K363" s="17">
        <f>IF(I363="","",MAX(0,I363-IF(J363="",0,J363)))</f>
        <v/>
      </c>
      <c r="L363" s="8" t="n"/>
    </row>
    <row r="364">
      <c r="A364" s="15" t="n"/>
      <c r="B364" s="8" t="n"/>
      <c r="C364" s="8" t="n"/>
      <c r="D364" s="8" t="n"/>
      <c r="E364" s="16" t="n"/>
      <c r="F364" s="16" t="n"/>
      <c r="G364" s="17">
        <f>IF(E364="","",E364+IF(F364="",0,F364))</f>
        <v/>
      </c>
      <c r="H364" s="8" t="n"/>
      <c r="I364" s="17">
        <f>IF(E364="","",IF(H364="Vendida",E364*Resumen!$B$3,0))</f>
        <v/>
      </c>
      <c r="J364" s="16" t="n"/>
      <c r="K364" s="17">
        <f>IF(I364="","",MAX(0,I364-IF(J364="",0,J364)))</f>
        <v/>
      </c>
      <c r="L364" s="8" t="n"/>
    </row>
    <row r="365">
      <c r="A365" s="15" t="n"/>
      <c r="B365" s="8" t="n"/>
      <c r="C365" s="8" t="n"/>
      <c r="D365" s="8" t="n"/>
      <c r="E365" s="16" t="n"/>
      <c r="F365" s="16" t="n"/>
      <c r="G365" s="17">
        <f>IF(E365="","",E365+IF(F365="",0,F365))</f>
        <v/>
      </c>
      <c r="H365" s="8" t="n"/>
      <c r="I365" s="17">
        <f>IF(E365="","",IF(H365="Vendida",E365*Resumen!$B$3,0))</f>
        <v/>
      </c>
      <c r="J365" s="16" t="n"/>
      <c r="K365" s="17">
        <f>IF(I365="","",MAX(0,I365-IF(J365="",0,J365)))</f>
        <v/>
      </c>
      <c r="L365" s="8" t="n"/>
    </row>
    <row r="366">
      <c r="A366" s="15" t="n"/>
      <c r="B366" s="8" t="n"/>
      <c r="C366" s="8" t="n"/>
      <c r="D366" s="8" t="n"/>
      <c r="E366" s="16" t="n"/>
      <c r="F366" s="16" t="n"/>
      <c r="G366" s="17">
        <f>IF(E366="","",E366+IF(F366="",0,F366))</f>
        <v/>
      </c>
      <c r="H366" s="8" t="n"/>
      <c r="I366" s="17">
        <f>IF(E366="","",IF(H366="Vendida",E366*Resumen!$B$3,0))</f>
        <v/>
      </c>
      <c r="J366" s="16" t="n"/>
      <c r="K366" s="17">
        <f>IF(I366="","",MAX(0,I366-IF(J366="",0,J366)))</f>
        <v/>
      </c>
      <c r="L366" s="8" t="n"/>
    </row>
    <row r="367">
      <c r="A367" s="15" t="n"/>
      <c r="B367" s="8" t="n"/>
      <c r="C367" s="8" t="n"/>
      <c r="D367" s="8" t="n"/>
      <c r="E367" s="16" t="n"/>
      <c r="F367" s="16" t="n"/>
      <c r="G367" s="17">
        <f>IF(E367="","",E367+IF(F367="",0,F367))</f>
        <v/>
      </c>
      <c r="H367" s="8" t="n"/>
      <c r="I367" s="17">
        <f>IF(E367="","",IF(H367="Vendida",E367*Resumen!$B$3,0))</f>
        <v/>
      </c>
      <c r="J367" s="16" t="n"/>
      <c r="K367" s="17">
        <f>IF(I367="","",MAX(0,I367-IF(J367="",0,J367)))</f>
        <v/>
      </c>
      <c r="L367" s="8" t="n"/>
    </row>
    <row r="368">
      <c r="A368" s="15" t="n"/>
      <c r="B368" s="8" t="n"/>
      <c r="C368" s="8" t="n"/>
      <c r="D368" s="8" t="n"/>
      <c r="E368" s="16" t="n"/>
      <c r="F368" s="16" t="n"/>
      <c r="G368" s="17">
        <f>IF(E368="","",E368+IF(F368="",0,F368))</f>
        <v/>
      </c>
      <c r="H368" s="8" t="n"/>
      <c r="I368" s="17">
        <f>IF(E368="","",IF(H368="Vendida",E368*Resumen!$B$3,0))</f>
        <v/>
      </c>
      <c r="J368" s="16" t="n"/>
      <c r="K368" s="17">
        <f>IF(I368="","",MAX(0,I368-IF(J368="",0,J368)))</f>
        <v/>
      </c>
      <c r="L368" s="8" t="n"/>
    </row>
    <row r="369">
      <c r="A369" s="15" t="n"/>
      <c r="B369" s="8" t="n"/>
      <c r="C369" s="8" t="n"/>
      <c r="D369" s="8" t="n"/>
      <c r="E369" s="16" t="n"/>
      <c r="F369" s="16" t="n"/>
      <c r="G369" s="17">
        <f>IF(E369="","",E369+IF(F369="",0,F369))</f>
        <v/>
      </c>
      <c r="H369" s="8" t="n"/>
      <c r="I369" s="17">
        <f>IF(E369="","",IF(H369="Vendida",E369*Resumen!$B$3,0))</f>
        <v/>
      </c>
      <c r="J369" s="16" t="n"/>
      <c r="K369" s="17">
        <f>IF(I369="","",MAX(0,I369-IF(J369="",0,J369)))</f>
        <v/>
      </c>
      <c r="L369" s="8" t="n"/>
    </row>
    <row r="370">
      <c r="A370" s="15" t="n"/>
      <c r="B370" s="8" t="n"/>
      <c r="C370" s="8" t="n"/>
      <c r="D370" s="8" t="n"/>
      <c r="E370" s="16" t="n"/>
      <c r="F370" s="16" t="n"/>
      <c r="G370" s="17">
        <f>IF(E370="","",E370+IF(F370="",0,F370))</f>
        <v/>
      </c>
      <c r="H370" s="8" t="n"/>
      <c r="I370" s="17">
        <f>IF(E370="","",IF(H370="Vendida",E370*Resumen!$B$3,0))</f>
        <v/>
      </c>
      <c r="J370" s="16" t="n"/>
      <c r="K370" s="17">
        <f>IF(I370="","",MAX(0,I370-IF(J370="",0,J370)))</f>
        <v/>
      </c>
      <c r="L370" s="8" t="n"/>
    </row>
    <row r="371">
      <c r="A371" s="15" t="n"/>
      <c r="B371" s="8" t="n"/>
      <c r="C371" s="8" t="n"/>
      <c r="D371" s="8" t="n"/>
      <c r="E371" s="16" t="n"/>
      <c r="F371" s="16" t="n"/>
      <c r="G371" s="17">
        <f>IF(E371="","",E371+IF(F371="",0,F371))</f>
        <v/>
      </c>
      <c r="H371" s="8" t="n"/>
      <c r="I371" s="17">
        <f>IF(E371="","",IF(H371="Vendida",E371*Resumen!$B$3,0))</f>
        <v/>
      </c>
      <c r="J371" s="16" t="n"/>
      <c r="K371" s="17">
        <f>IF(I371="","",MAX(0,I371-IF(J371="",0,J371)))</f>
        <v/>
      </c>
      <c r="L371" s="8" t="n"/>
    </row>
    <row r="372">
      <c r="A372" s="15" t="n"/>
      <c r="B372" s="8" t="n"/>
      <c r="C372" s="8" t="n"/>
      <c r="D372" s="8" t="n"/>
      <c r="E372" s="16" t="n"/>
      <c r="F372" s="16" t="n"/>
      <c r="G372" s="17">
        <f>IF(E372="","",E372+IF(F372="",0,F372))</f>
        <v/>
      </c>
      <c r="H372" s="8" t="n"/>
      <c r="I372" s="17">
        <f>IF(E372="","",IF(H372="Vendida",E372*Resumen!$B$3,0))</f>
        <v/>
      </c>
      <c r="J372" s="16" t="n"/>
      <c r="K372" s="17">
        <f>IF(I372="","",MAX(0,I372-IF(J372="",0,J372)))</f>
        <v/>
      </c>
      <c r="L372" s="8" t="n"/>
    </row>
    <row r="373">
      <c r="A373" s="15" t="n"/>
      <c r="B373" s="8" t="n"/>
      <c r="C373" s="8" t="n"/>
      <c r="D373" s="8" t="n"/>
      <c r="E373" s="16" t="n"/>
      <c r="F373" s="16" t="n"/>
      <c r="G373" s="17">
        <f>IF(E373="","",E373+IF(F373="",0,F373))</f>
        <v/>
      </c>
      <c r="H373" s="8" t="n"/>
      <c r="I373" s="17">
        <f>IF(E373="","",IF(H373="Vendida",E373*Resumen!$B$3,0))</f>
        <v/>
      </c>
      <c r="J373" s="16" t="n"/>
      <c r="K373" s="17">
        <f>IF(I373="","",MAX(0,I373-IF(J373="",0,J373)))</f>
        <v/>
      </c>
      <c r="L373" s="8" t="n"/>
    </row>
    <row r="374">
      <c r="A374" s="15" t="n"/>
      <c r="B374" s="8" t="n"/>
      <c r="C374" s="8" t="n"/>
      <c r="D374" s="8" t="n"/>
      <c r="E374" s="16" t="n"/>
      <c r="F374" s="16" t="n"/>
      <c r="G374" s="17">
        <f>IF(E374="","",E374+IF(F374="",0,F374))</f>
        <v/>
      </c>
      <c r="H374" s="8" t="n"/>
      <c r="I374" s="17">
        <f>IF(E374="","",IF(H374="Vendida",E374*Resumen!$B$3,0))</f>
        <v/>
      </c>
      <c r="J374" s="16" t="n"/>
      <c r="K374" s="17">
        <f>IF(I374="","",MAX(0,I374-IF(J374="",0,J374)))</f>
        <v/>
      </c>
      <c r="L374" s="8" t="n"/>
    </row>
    <row r="375">
      <c r="A375" s="15" t="n"/>
      <c r="B375" s="8" t="n"/>
      <c r="C375" s="8" t="n"/>
      <c r="D375" s="8" t="n"/>
      <c r="E375" s="16" t="n"/>
      <c r="F375" s="16" t="n"/>
      <c r="G375" s="17">
        <f>IF(E375="","",E375+IF(F375="",0,F375))</f>
        <v/>
      </c>
      <c r="H375" s="8" t="n"/>
      <c r="I375" s="17">
        <f>IF(E375="","",IF(H375="Vendida",E375*Resumen!$B$3,0))</f>
        <v/>
      </c>
      <c r="J375" s="16" t="n"/>
      <c r="K375" s="17">
        <f>IF(I375="","",MAX(0,I375-IF(J375="",0,J375)))</f>
        <v/>
      </c>
      <c r="L375" s="8" t="n"/>
    </row>
    <row r="376">
      <c r="A376" s="15" t="n"/>
      <c r="B376" s="8" t="n"/>
      <c r="C376" s="8" t="n"/>
      <c r="D376" s="8" t="n"/>
      <c r="E376" s="16" t="n"/>
      <c r="F376" s="16" t="n"/>
      <c r="G376" s="17">
        <f>IF(E376="","",E376+IF(F376="",0,F376))</f>
        <v/>
      </c>
      <c r="H376" s="8" t="n"/>
      <c r="I376" s="17">
        <f>IF(E376="","",IF(H376="Vendida",E376*Resumen!$B$3,0))</f>
        <v/>
      </c>
      <c r="J376" s="16" t="n"/>
      <c r="K376" s="17">
        <f>IF(I376="","",MAX(0,I376-IF(J376="",0,J376)))</f>
        <v/>
      </c>
      <c r="L376" s="8" t="n"/>
    </row>
    <row r="377">
      <c r="A377" s="15" t="n"/>
      <c r="B377" s="8" t="n"/>
      <c r="C377" s="8" t="n"/>
      <c r="D377" s="8" t="n"/>
      <c r="E377" s="16" t="n"/>
      <c r="F377" s="16" t="n"/>
      <c r="G377" s="17">
        <f>IF(E377="","",E377+IF(F377="",0,F377))</f>
        <v/>
      </c>
      <c r="H377" s="8" t="n"/>
      <c r="I377" s="17">
        <f>IF(E377="","",IF(H377="Vendida",E377*Resumen!$B$3,0))</f>
        <v/>
      </c>
      <c r="J377" s="16" t="n"/>
      <c r="K377" s="17">
        <f>IF(I377="","",MAX(0,I377-IF(J377="",0,J377)))</f>
        <v/>
      </c>
      <c r="L377" s="8" t="n"/>
    </row>
    <row r="378">
      <c r="A378" s="15" t="n"/>
      <c r="B378" s="8" t="n"/>
      <c r="C378" s="8" t="n"/>
      <c r="D378" s="8" t="n"/>
      <c r="E378" s="16" t="n"/>
      <c r="F378" s="16" t="n"/>
      <c r="G378" s="17">
        <f>IF(E378="","",E378+IF(F378="",0,F378))</f>
        <v/>
      </c>
      <c r="H378" s="8" t="n"/>
      <c r="I378" s="17">
        <f>IF(E378="","",IF(H378="Vendida",E378*Resumen!$B$3,0))</f>
        <v/>
      </c>
      <c r="J378" s="16" t="n"/>
      <c r="K378" s="17">
        <f>IF(I378="","",MAX(0,I378-IF(J378="",0,J378)))</f>
        <v/>
      </c>
      <c r="L378" s="8" t="n"/>
    </row>
    <row r="379">
      <c r="A379" s="15" t="n"/>
      <c r="B379" s="8" t="n"/>
      <c r="C379" s="8" t="n"/>
      <c r="D379" s="8" t="n"/>
      <c r="E379" s="16" t="n"/>
      <c r="F379" s="16" t="n"/>
      <c r="G379" s="17">
        <f>IF(E379="","",E379+IF(F379="",0,F379))</f>
        <v/>
      </c>
      <c r="H379" s="8" t="n"/>
      <c r="I379" s="17">
        <f>IF(E379="","",IF(H379="Vendida",E379*Resumen!$B$3,0))</f>
        <v/>
      </c>
      <c r="J379" s="16" t="n"/>
      <c r="K379" s="17">
        <f>IF(I379="","",MAX(0,I379-IF(J379="",0,J379)))</f>
        <v/>
      </c>
      <c r="L379" s="8" t="n"/>
    </row>
    <row r="380">
      <c r="A380" s="15" t="n"/>
      <c r="B380" s="8" t="n"/>
      <c r="C380" s="8" t="n"/>
      <c r="D380" s="8" t="n"/>
      <c r="E380" s="16" t="n"/>
      <c r="F380" s="16" t="n"/>
      <c r="G380" s="17">
        <f>IF(E380="","",E380+IF(F380="",0,F380))</f>
        <v/>
      </c>
      <c r="H380" s="8" t="n"/>
      <c r="I380" s="17">
        <f>IF(E380="","",IF(H380="Vendida",E380*Resumen!$B$3,0))</f>
        <v/>
      </c>
      <c r="J380" s="16" t="n"/>
      <c r="K380" s="17">
        <f>IF(I380="","",MAX(0,I380-IF(J380="",0,J380)))</f>
        <v/>
      </c>
      <c r="L380" s="8" t="n"/>
    </row>
    <row r="381">
      <c r="A381" s="15" t="n"/>
      <c r="B381" s="8" t="n"/>
      <c r="C381" s="8" t="n"/>
      <c r="D381" s="8" t="n"/>
      <c r="E381" s="16" t="n"/>
      <c r="F381" s="16" t="n"/>
      <c r="G381" s="17">
        <f>IF(E381="","",E381+IF(F381="",0,F381))</f>
        <v/>
      </c>
      <c r="H381" s="8" t="n"/>
      <c r="I381" s="17">
        <f>IF(E381="","",IF(H381="Vendida",E381*Resumen!$B$3,0))</f>
        <v/>
      </c>
      <c r="J381" s="16" t="n"/>
      <c r="K381" s="17">
        <f>IF(I381="","",MAX(0,I381-IF(J381="",0,J381)))</f>
        <v/>
      </c>
      <c r="L381" s="8" t="n"/>
    </row>
    <row r="382">
      <c r="A382" s="15" t="n"/>
      <c r="B382" s="8" t="n"/>
      <c r="C382" s="8" t="n"/>
      <c r="D382" s="8" t="n"/>
      <c r="E382" s="16" t="n"/>
      <c r="F382" s="16" t="n"/>
      <c r="G382" s="17">
        <f>IF(E382="","",E382+IF(F382="",0,F382))</f>
        <v/>
      </c>
      <c r="H382" s="8" t="n"/>
      <c r="I382" s="17">
        <f>IF(E382="","",IF(H382="Vendida",E382*Resumen!$B$3,0))</f>
        <v/>
      </c>
      <c r="J382" s="16" t="n"/>
      <c r="K382" s="17">
        <f>IF(I382="","",MAX(0,I382-IF(J382="",0,J382)))</f>
        <v/>
      </c>
      <c r="L382" s="8" t="n"/>
    </row>
    <row r="383">
      <c r="A383" s="15" t="n"/>
      <c r="B383" s="8" t="n"/>
      <c r="C383" s="8" t="n"/>
      <c r="D383" s="8" t="n"/>
      <c r="E383" s="16" t="n"/>
      <c r="F383" s="16" t="n"/>
      <c r="G383" s="17">
        <f>IF(E383="","",E383+IF(F383="",0,F383))</f>
        <v/>
      </c>
      <c r="H383" s="8" t="n"/>
      <c r="I383" s="17">
        <f>IF(E383="","",IF(H383="Vendida",E383*Resumen!$B$3,0))</f>
        <v/>
      </c>
      <c r="J383" s="16" t="n"/>
      <c r="K383" s="17">
        <f>IF(I383="","",MAX(0,I383-IF(J383="",0,J383)))</f>
        <v/>
      </c>
      <c r="L383" s="8" t="n"/>
    </row>
    <row r="384">
      <c r="A384" s="15" t="n"/>
      <c r="B384" s="8" t="n"/>
      <c r="C384" s="8" t="n"/>
      <c r="D384" s="8" t="n"/>
      <c r="E384" s="16" t="n"/>
      <c r="F384" s="16" t="n"/>
      <c r="G384" s="17">
        <f>IF(E384="","",E384+IF(F384="",0,F384))</f>
        <v/>
      </c>
      <c r="H384" s="8" t="n"/>
      <c r="I384" s="17">
        <f>IF(E384="","",IF(H384="Vendida",E384*Resumen!$B$3,0))</f>
        <v/>
      </c>
      <c r="J384" s="16" t="n"/>
      <c r="K384" s="17">
        <f>IF(I384="","",MAX(0,I384-IF(J384="",0,J384)))</f>
        <v/>
      </c>
      <c r="L384" s="8" t="n"/>
    </row>
    <row r="385">
      <c r="A385" s="15" t="n"/>
      <c r="B385" s="8" t="n"/>
      <c r="C385" s="8" t="n"/>
      <c r="D385" s="8" t="n"/>
      <c r="E385" s="16" t="n"/>
      <c r="F385" s="16" t="n"/>
      <c r="G385" s="17">
        <f>IF(E385="","",E385+IF(F385="",0,F385))</f>
        <v/>
      </c>
      <c r="H385" s="8" t="n"/>
      <c r="I385" s="17">
        <f>IF(E385="","",IF(H385="Vendida",E385*Resumen!$B$3,0))</f>
        <v/>
      </c>
      <c r="J385" s="16" t="n"/>
      <c r="K385" s="17">
        <f>IF(I385="","",MAX(0,I385-IF(J385="",0,J385)))</f>
        <v/>
      </c>
      <c r="L385" s="8" t="n"/>
    </row>
    <row r="386">
      <c r="A386" s="15" t="n"/>
      <c r="B386" s="8" t="n"/>
      <c r="C386" s="8" t="n"/>
      <c r="D386" s="8" t="n"/>
      <c r="E386" s="16" t="n"/>
      <c r="F386" s="16" t="n"/>
      <c r="G386" s="17">
        <f>IF(E386="","",E386+IF(F386="",0,F386))</f>
        <v/>
      </c>
      <c r="H386" s="8" t="n"/>
      <c r="I386" s="17">
        <f>IF(E386="","",IF(H386="Vendida",E386*Resumen!$B$3,0))</f>
        <v/>
      </c>
      <c r="J386" s="16" t="n"/>
      <c r="K386" s="17">
        <f>IF(I386="","",MAX(0,I386-IF(J386="",0,J386)))</f>
        <v/>
      </c>
      <c r="L386" s="8" t="n"/>
    </row>
    <row r="387">
      <c r="A387" s="15" t="n"/>
      <c r="B387" s="8" t="n"/>
      <c r="C387" s="8" t="n"/>
      <c r="D387" s="8" t="n"/>
      <c r="E387" s="16" t="n"/>
      <c r="F387" s="16" t="n"/>
      <c r="G387" s="17">
        <f>IF(E387="","",E387+IF(F387="",0,F387))</f>
        <v/>
      </c>
      <c r="H387" s="8" t="n"/>
      <c r="I387" s="17">
        <f>IF(E387="","",IF(H387="Vendida",E387*Resumen!$B$3,0))</f>
        <v/>
      </c>
      <c r="J387" s="16" t="n"/>
      <c r="K387" s="17">
        <f>IF(I387="","",MAX(0,I387-IF(J387="",0,J387)))</f>
        <v/>
      </c>
      <c r="L387" s="8" t="n"/>
    </row>
    <row r="388">
      <c r="A388" s="15" t="n"/>
      <c r="B388" s="8" t="n"/>
      <c r="C388" s="8" t="n"/>
      <c r="D388" s="8" t="n"/>
      <c r="E388" s="16" t="n"/>
      <c r="F388" s="16" t="n"/>
      <c r="G388" s="17">
        <f>IF(E388="","",E388+IF(F388="",0,F388))</f>
        <v/>
      </c>
      <c r="H388" s="8" t="n"/>
      <c r="I388" s="17">
        <f>IF(E388="","",IF(H388="Vendida",E388*Resumen!$B$3,0))</f>
        <v/>
      </c>
      <c r="J388" s="16" t="n"/>
      <c r="K388" s="17">
        <f>IF(I388="","",MAX(0,I388-IF(J388="",0,J388)))</f>
        <v/>
      </c>
      <c r="L388" s="8" t="n"/>
    </row>
    <row r="389">
      <c r="A389" s="15" t="n"/>
      <c r="B389" s="8" t="n"/>
      <c r="C389" s="8" t="n"/>
      <c r="D389" s="8" t="n"/>
      <c r="E389" s="16" t="n"/>
      <c r="F389" s="16" t="n"/>
      <c r="G389" s="17">
        <f>IF(E389="","",E389+IF(F389="",0,F389))</f>
        <v/>
      </c>
      <c r="H389" s="8" t="n"/>
      <c r="I389" s="17">
        <f>IF(E389="","",IF(H389="Vendida",E389*Resumen!$B$3,0))</f>
        <v/>
      </c>
      <c r="J389" s="16" t="n"/>
      <c r="K389" s="17">
        <f>IF(I389="","",MAX(0,I389-IF(J389="",0,J389)))</f>
        <v/>
      </c>
      <c r="L389" s="8" t="n"/>
    </row>
    <row r="390">
      <c r="A390" s="15" t="n"/>
      <c r="B390" s="8" t="n"/>
      <c r="C390" s="8" t="n"/>
      <c r="D390" s="8" t="n"/>
      <c r="E390" s="16" t="n"/>
      <c r="F390" s="16" t="n"/>
      <c r="G390" s="17">
        <f>IF(E390="","",E390+IF(F390="",0,F390))</f>
        <v/>
      </c>
      <c r="H390" s="8" t="n"/>
      <c r="I390" s="17">
        <f>IF(E390="","",IF(H390="Vendida",E390*Resumen!$B$3,0))</f>
        <v/>
      </c>
      <c r="J390" s="16" t="n"/>
      <c r="K390" s="17">
        <f>IF(I390="","",MAX(0,I390-IF(J390="",0,J390)))</f>
        <v/>
      </c>
      <c r="L390" s="8" t="n"/>
    </row>
    <row r="391">
      <c r="A391" s="15" t="n"/>
      <c r="B391" s="8" t="n"/>
      <c r="C391" s="8" t="n"/>
      <c r="D391" s="8" t="n"/>
      <c r="E391" s="16" t="n"/>
      <c r="F391" s="16" t="n"/>
      <c r="G391" s="17">
        <f>IF(E391="","",E391+IF(F391="",0,F391))</f>
        <v/>
      </c>
      <c r="H391" s="8" t="n"/>
      <c r="I391" s="17">
        <f>IF(E391="","",IF(H391="Vendida",E391*Resumen!$B$3,0))</f>
        <v/>
      </c>
      <c r="J391" s="16" t="n"/>
      <c r="K391" s="17">
        <f>IF(I391="","",MAX(0,I391-IF(J391="",0,J391)))</f>
        <v/>
      </c>
      <c r="L391" s="8" t="n"/>
    </row>
    <row r="392">
      <c r="A392" s="15" t="n"/>
      <c r="B392" s="8" t="n"/>
      <c r="C392" s="8" t="n"/>
      <c r="D392" s="8" t="n"/>
      <c r="E392" s="16" t="n"/>
      <c r="F392" s="16" t="n"/>
      <c r="G392" s="17">
        <f>IF(E392="","",E392+IF(F392="",0,F392))</f>
        <v/>
      </c>
      <c r="H392" s="8" t="n"/>
      <c r="I392" s="17">
        <f>IF(E392="","",IF(H392="Vendida",E392*Resumen!$B$3,0))</f>
        <v/>
      </c>
      <c r="J392" s="16" t="n"/>
      <c r="K392" s="17">
        <f>IF(I392="","",MAX(0,I392-IF(J392="",0,J392)))</f>
        <v/>
      </c>
      <c r="L392" s="8" t="n"/>
    </row>
    <row r="393">
      <c r="A393" s="15" t="n"/>
      <c r="B393" s="8" t="n"/>
      <c r="C393" s="8" t="n"/>
      <c r="D393" s="8" t="n"/>
      <c r="E393" s="16" t="n"/>
      <c r="F393" s="16" t="n"/>
      <c r="G393" s="17">
        <f>IF(E393="","",E393+IF(F393="",0,F393))</f>
        <v/>
      </c>
      <c r="H393" s="8" t="n"/>
      <c r="I393" s="17">
        <f>IF(E393="","",IF(H393="Vendida",E393*Resumen!$B$3,0))</f>
        <v/>
      </c>
      <c r="J393" s="16" t="n"/>
      <c r="K393" s="17">
        <f>IF(I393="","",MAX(0,I393-IF(J393="",0,J393)))</f>
        <v/>
      </c>
      <c r="L393" s="8" t="n"/>
    </row>
    <row r="394">
      <c r="A394" s="15" t="n"/>
      <c r="B394" s="8" t="n"/>
      <c r="C394" s="8" t="n"/>
      <c r="D394" s="8" t="n"/>
      <c r="E394" s="16" t="n"/>
      <c r="F394" s="16" t="n"/>
      <c r="G394" s="17">
        <f>IF(E394="","",E394+IF(F394="",0,F394))</f>
        <v/>
      </c>
      <c r="H394" s="8" t="n"/>
      <c r="I394" s="17">
        <f>IF(E394="","",IF(H394="Vendida",E394*Resumen!$B$3,0))</f>
        <v/>
      </c>
      <c r="J394" s="16" t="n"/>
      <c r="K394" s="17">
        <f>IF(I394="","",MAX(0,I394-IF(J394="",0,J394)))</f>
        <v/>
      </c>
      <c r="L394" s="8" t="n"/>
    </row>
    <row r="395">
      <c r="A395" s="15" t="n"/>
      <c r="B395" s="8" t="n"/>
      <c r="C395" s="8" t="n"/>
      <c r="D395" s="8" t="n"/>
      <c r="E395" s="16" t="n"/>
      <c r="F395" s="16" t="n"/>
      <c r="G395" s="17">
        <f>IF(E395="","",E395+IF(F395="",0,F395))</f>
        <v/>
      </c>
      <c r="H395" s="8" t="n"/>
      <c r="I395" s="17">
        <f>IF(E395="","",IF(H395="Vendida",E395*Resumen!$B$3,0))</f>
        <v/>
      </c>
      <c r="J395" s="16" t="n"/>
      <c r="K395" s="17">
        <f>IF(I395="","",MAX(0,I395-IF(J395="",0,J395)))</f>
        <v/>
      </c>
      <c r="L395" s="8" t="n"/>
    </row>
    <row r="396">
      <c r="A396" s="15" t="n"/>
      <c r="B396" s="8" t="n"/>
      <c r="C396" s="8" t="n"/>
      <c r="D396" s="8" t="n"/>
      <c r="E396" s="16" t="n"/>
      <c r="F396" s="16" t="n"/>
      <c r="G396" s="17">
        <f>IF(E396="","",E396+IF(F396="",0,F396))</f>
        <v/>
      </c>
      <c r="H396" s="8" t="n"/>
      <c r="I396" s="17">
        <f>IF(E396="","",IF(H396="Vendida",E396*Resumen!$B$3,0))</f>
        <v/>
      </c>
      <c r="J396" s="16" t="n"/>
      <c r="K396" s="17">
        <f>IF(I396="","",MAX(0,I396-IF(J396="",0,J396)))</f>
        <v/>
      </c>
      <c r="L396" s="8" t="n"/>
    </row>
    <row r="397">
      <c r="A397" s="15" t="n"/>
      <c r="B397" s="8" t="n"/>
      <c r="C397" s="8" t="n"/>
      <c r="D397" s="8" t="n"/>
      <c r="E397" s="16" t="n"/>
      <c r="F397" s="16" t="n"/>
      <c r="G397" s="17">
        <f>IF(E397="","",E397+IF(F397="",0,F397))</f>
        <v/>
      </c>
      <c r="H397" s="8" t="n"/>
      <c r="I397" s="17">
        <f>IF(E397="","",IF(H397="Vendida",E397*Resumen!$B$3,0))</f>
        <v/>
      </c>
      <c r="J397" s="16" t="n"/>
      <c r="K397" s="17">
        <f>IF(I397="","",MAX(0,I397-IF(J397="",0,J397)))</f>
        <v/>
      </c>
      <c r="L397" s="8" t="n"/>
    </row>
    <row r="398">
      <c r="A398" s="15" t="n"/>
      <c r="B398" s="8" t="n"/>
      <c r="C398" s="8" t="n"/>
      <c r="D398" s="8" t="n"/>
      <c r="E398" s="16" t="n"/>
      <c r="F398" s="16" t="n"/>
      <c r="G398" s="17">
        <f>IF(E398="","",E398+IF(F398="",0,F398))</f>
        <v/>
      </c>
      <c r="H398" s="8" t="n"/>
      <c r="I398" s="17">
        <f>IF(E398="","",IF(H398="Vendida",E398*Resumen!$B$3,0))</f>
        <v/>
      </c>
      <c r="J398" s="16" t="n"/>
      <c r="K398" s="17">
        <f>IF(I398="","",MAX(0,I398-IF(J398="",0,J398)))</f>
        <v/>
      </c>
      <c r="L398" s="8" t="n"/>
    </row>
    <row r="399">
      <c r="A399" s="15" t="n"/>
      <c r="B399" s="8" t="n"/>
      <c r="C399" s="8" t="n"/>
      <c r="D399" s="8" t="n"/>
      <c r="E399" s="16" t="n"/>
      <c r="F399" s="16" t="n"/>
      <c r="G399" s="17">
        <f>IF(E399="","",E399+IF(F399="",0,F399))</f>
        <v/>
      </c>
      <c r="H399" s="8" t="n"/>
      <c r="I399" s="17">
        <f>IF(E399="","",IF(H399="Vendida",E399*Resumen!$B$3,0))</f>
        <v/>
      </c>
      <c r="J399" s="16" t="n"/>
      <c r="K399" s="17">
        <f>IF(I399="","",MAX(0,I399-IF(J399="",0,J399)))</f>
        <v/>
      </c>
      <c r="L399" s="8" t="n"/>
    </row>
    <row r="400">
      <c r="A400" s="15" t="n"/>
      <c r="B400" s="8" t="n"/>
      <c r="C400" s="8" t="n"/>
      <c r="D400" s="8" t="n"/>
      <c r="E400" s="16" t="n"/>
      <c r="F400" s="16" t="n"/>
      <c r="G400" s="17">
        <f>IF(E400="","",E400+IF(F400="",0,F400))</f>
        <v/>
      </c>
      <c r="H400" s="8" t="n"/>
      <c r="I400" s="17">
        <f>IF(E400="","",IF(H400="Vendida",E400*Resumen!$B$3,0))</f>
        <v/>
      </c>
      <c r="J400" s="16" t="n"/>
      <c r="K400" s="17">
        <f>IF(I400="","",MAX(0,I400-IF(J400="",0,J400)))</f>
        <v/>
      </c>
      <c r="L400" s="8" t="n"/>
    </row>
    <row r="401">
      <c r="A401" s="15" t="n"/>
      <c r="B401" s="8" t="n"/>
      <c r="C401" s="8" t="n"/>
      <c r="D401" s="8" t="n"/>
      <c r="E401" s="16" t="n"/>
      <c r="F401" s="16" t="n"/>
      <c r="G401" s="17">
        <f>IF(E401="","",E401+IF(F401="",0,F401))</f>
        <v/>
      </c>
      <c r="H401" s="8" t="n"/>
      <c r="I401" s="17">
        <f>IF(E401="","",IF(H401="Vendida",E401*Resumen!$B$3,0))</f>
        <v/>
      </c>
      <c r="J401" s="16" t="n"/>
      <c r="K401" s="17">
        <f>IF(I401="","",MAX(0,I401-IF(J401="",0,J401)))</f>
        <v/>
      </c>
      <c r="L401" s="8" t="n"/>
    </row>
    <row r="402">
      <c r="A402" s="15" t="n"/>
      <c r="B402" s="8" t="n"/>
      <c r="C402" s="8" t="n"/>
      <c r="D402" s="8" t="n"/>
      <c r="E402" s="16" t="n"/>
      <c r="F402" s="16" t="n"/>
      <c r="G402" s="17">
        <f>IF(E402="","",E402+IF(F402="",0,F402))</f>
        <v/>
      </c>
      <c r="H402" s="8" t="n"/>
      <c r="I402" s="17">
        <f>IF(E402="","",IF(H402="Vendida",E402*Resumen!$B$3,0))</f>
        <v/>
      </c>
      <c r="J402" s="16" t="n"/>
      <c r="K402" s="17">
        <f>IF(I402="","",MAX(0,I402-IF(J402="",0,J402)))</f>
        <v/>
      </c>
      <c r="L402" s="8" t="n"/>
    </row>
    <row r="403">
      <c r="A403" s="15" t="n"/>
      <c r="B403" s="8" t="n"/>
      <c r="C403" s="8" t="n"/>
      <c r="D403" s="8" t="n"/>
      <c r="E403" s="16" t="n"/>
      <c r="F403" s="16" t="n"/>
      <c r="G403" s="17">
        <f>IF(E403="","",E403+IF(F403="",0,F403))</f>
        <v/>
      </c>
      <c r="H403" s="8" t="n"/>
      <c r="I403" s="17">
        <f>IF(E403="","",IF(H403="Vendida",E403*Resumen!$B$3,0))</f>
        <v/>
      </c>
      <c r="J403" s="16" t="n"/>
      <c r="K403" s="17">
        <f>IF(I403="","",MAX(0,I403-IF(J403="",0,J403)))</f>
        <v/>
      </c>
      <c r="L403" s="8" t="n"/>
    </row>
    <row r="404">
      <c r="A404" s="15" t="n"/>
      <c r="B404" s="8" t="n"/>
      <c r="C404" s="8" t="n"/>
      <c r="D404" s="8" t="n"/>
      <c r="E404" s="16" t="n"/>
      <c r="F404" s="16" t="n"/>
      <c r="G404" s="17">
        <f>IF(E404="","",E404+IF(F404="",0,F404))</f>
        <v/>
      </c>
      <c r="H404" s="8" t="n"/>
      <c r="I404" s="17">
        <f>IF(E404="","",IF(H404="Vendida",E404*Resumen!$B$3,0))</f>
        <v/>
      </c>
      <c r="J404" s="16" t="n"/>
      <c r="K404" s="17">
        <f>IF(I404="","",MAX(0,I404-IF(J404="",0,J404)))</f>
        <v/>
      </c>
      <c r="L404" s="8" t="n"/>
    </row>
    <row r="405">
      <c r="A405" s="15" t="n"/>
      <c r="B405" s="8" t="n"/>
      <c r="C405" s="8" t="n"/>
      <c r="D405" s="8" t="n"/>
      <c r="E405" s="16" t="n"/>
      <c r="F405" s="16" t="n"/>
      <c r="G405" s="17">
        <f>IF(E405="","",E405+IF(F405="",0,F405))</f>
        <v/>
      </c>
      <c r="H405" s="8" t="n"/>
      <c r="I405" s="17">
        <f>IF(E405="","",IF(H405="Vendida",E405*Resumen!$B$3,0))</f>
        <v/>
      </c>
      <c r="J405" s="16" t="n"/>
      <c r="K405" s="17">
        <f>IF(I405="","",MAX(0,I405-IF(J405="",0,J405)))</f>
        <v/>
      </c>
      <c r="L405" s="8" t="n"/>
    </row>
    <row r="406">
      <c r="A406" s="15" t="n"/>
      <c r="B406" s="8" t="n"/>
      <c r="C406" s="8" t="n"/>
      <c r="D406" s="8" t="n"/>
      <c r="E406" s="16" t="n"/>
      <c r="F406" s="16" t="n"/>
      <c r="G406" s="17">
        <f>IF(E406="","",E406+IF(F406="",0,F406))</f>
        <v/>
      </c>
      <c r="H406" s="8" t="n"/>
      <c r="I406" s="17">
        <f>IF(E406="","",IF(H406="Vendida",E406*Resumen!$B$3,0))</f>
        <v/>
      </c>
      <c r="J406" s="16" t="n"/>
      <c r="K406" s="17">
        <f>IF(I406="","",MAX(0,I406-IF(J406="",0,J406)))</f>
        <v/>
      </c>
      <c r="L406" s="8" t="n"/>
    </row>
    <row r="407">
      <c r="A407" s="15" t="n"/>
      <c r="B407" s="8" t="n"/>
      <c r="C407" s="8" t="n"/>
      <c r="D407" s="8" t="n"/>
      <c r="E407" s="16" t="n"/>
      <c r="F407" s="16" t="n"/>
      <c r="G407" s="17">
        <f>IF(E407="","",E407+IF(F407="",0,F407))</f>
        <v/>
      </c>
      <c r="H407" s="8" t="n"/>
      <c r="I407" s="17">
        <f>IF(E407="","",IF(H407="Vendida",E407*Resumen!$B$3,0))</f>
        <v/>
      </c>
      <c r="J407" s="16" t="n"/>
      <c r="K407" s="17">
        <f>IF(I407="","",MAX(0,I407-IF(J407="",0,J407)))</f>
        <v/>
      </c>
      <c r="L407" s="8" t="n"/>
    </row>
    <row r="408">
      <c r="A408" s="15" t="n"/>
      <c r="B408" s="8" t="n"/>
      <c r="C408" s="8" t="n"/>
      <c r="D408" s="8" t="n"/>
      <c r="E408" s="16" t="n"/>
      <c r="F408" s="16" t="n"/>
      <c r="G408" s="17">
        <f>IF(E408="","",E408+IF(F408="",0,F408))</f>
        <v/>
      </c>
      <c r="H408" s="8" t="n"/>
      <c r="I408" s="17">
        <f>IF(E408="","",IF(H408="Vendida",E408*Resumen!$B$3,0))</f>
        <v/>
      </c>
      <c r="J408" s="16" t="n"/>
      <c r="K408" s="17">
        <f>IF(I408="","",MAX(0,I408-IF(J408="",0,J408)))</f>
        <v/>
      </c>
      <c r="L408" s="8" t="n"/>
    </row>
    <row r="409">
      <c r="A409" s="15" t="n"/>
      <c r="B409" s="8" t="n"/>
      <c r="C409" s="8" t="n"/>
      <c r="D409" s="8" t="n"/>
      <c r="E409" s="16" t="n"/>
      <c r="F409" s="16" t="n"/>
      <c r="G409" s="17">
        <f>IF(E409="","",E409+IF(F409="",0,F409))</f>
        <v/>
      </c>
      <c r="H409" s="8" t="n"/>
      <c r="I409" s="17">
        <f>IF(E409="","",IF(H409="Vendida",E409*Resumen!$B$3,0))</f>
        <v/>
      </c>
      <c r="J409" s="16" t="n"/>
      <c r="K409" s="17">
        <f>IF(I409="","",MAX(0,I409-IF(J409="",0,J409)))</f>
        <v/>
      </c>
      <c r="L409" s="8" t="n"/>
    </row>
    <row r="410">
      <c r="A410" s="15" t="n"/>
      <c r="B410" s="8" t="n"/>
      <c r="C410" s="8" t="n"/>
      <c r="D410" s="8" t="n"/>
      <c r="E410" s="16" t="n"/>
      <c r="F410" s="16" t="n"/>
      <c r="G410" s="17">
        <f>IF(E410="","",E410+IF(F410="",0,F410))</f>
        <v/>
      </c>
      <c r="H410" s="8" t="n"/>
      <c r="I410" s="17">
        <f>IF(E410="","",IF(H410="Vendida",E410*Resumen!$B$3,0))</f>
        <v/>
      </c>
      <c r="J410" s="16" t="n"/>
      <c r="K410" s="17">
        <f>IF(I410="","",MAX(0,I410-IF(J410="",0,J410)))</f>
        <v/>
      </c>
      <c r="L410" s="8" t="n"/>
    </row>
    <row r="411">
      <c r="A411" s="15" t="n"/>
      <c r="B411" s="8" t="n"/>
      <c r="C411" s="8" t="n"/>
      <c r="D411" s="8" t="n"/>
      <c r="E411" s="16" t="n"/>
      <c r="F411" s="16" t="n"/>
      <c r="G411" s="17">
        <f>IF(E411="","",E411+IF(F411="",0,F411))</f>
        <v/>
      </c>
      <c r="H411" s="8" t="n"/>
      <c r="I411" s="17">
        <f>IF(E411="","",IF(H411="Vendida",E411*Resumen!$B$3,0))</f>
        <v/>
      </c>
      <c r="J411" s="16" t="n"/>
      <c r="K411" s="17">
        <f>IF(I411="","",MAX(0,I411-IF(J411="",0,J411)))</f>
        <v/>
      </c>
      <c r="L411" s="8" t="n"/>
    </row>
    <row r="412">
      <c r="A412" s="15" t="n"/>
      <c r="B412" s="8" t="n"/>
      <c r="C412" s="8" t="n"/>
      <c r="D412" s="8" t="n"/>
      <c r="E412" s="16" t="n"/>
      <c r="F412" s="16" t="n"/>
      <c r="G412" s="17">
        <f>IF(E412="","",E412+IF(F412="",0,F412))</f>
        <v/>
      </c>
      <c r="H412" s="8" t="n"/>
      <c r="I412" s="17">
        <f>IF(E412="","",IF(H412="Vendida",E412*Resumen!$B$3,0))</f>
        <v/>
      </c>
      <c r="J412" s="16" t="n"/>
      <c r="K412" s="17">
        <f>IF(I412="","",MAX(0,I412-IF(J412="",0,J412)))</f>
        <v/>
      </c>
      <c r="L412" s="8" t="n"/>
    </row>
    <row r="413">
      <c r="A413" s="15" t="n"/>
      <c r="B413" s="8" t="n"/>
      <c r="C413" s="8" t="n"/>
      <c r="D413" s="8" t="n"/>
      <c r="E413" s="16" t="n"/>
      <c r="F413" s="16" t="n"/>
      <c r="G413" s="17">
        <f>IF(E413="","",E413+IF(F413="",0,F413))</f>
        <v/>
      </c>
      <c r="H413" s="8" t="n"/>
      <c r="I413" s="17">
        <f>IF(E413="","",IF(H413="Vendida",E413*Resumen!$B$3,0))</f>
        <v/>
      </c>
      <c r="J413" s="16" t="n"/>
      <c r="K413" s="17">
        <f>IF(I413="","",MAX(0,I413-IF(J413="",0,J413)))</f>
        <v/>
      </c>
      <c r="L413" s="8" t="n"/>
    </row>
    <row r="414">
      <c r="A414" s="15" t="n"/>
      <c r="B414" s="8" t="n"/>
      <c r="C414" s="8" t="n"/>
      <c r="D414" s="8" t="n"/>
      <c r="E414" s="16" t="n"/>
      <c r="F414" s="16" t="n"/>
      <c r="G414" s="17">
        <f>IF(E414="","",E414+IF(F414="",0,F414))</f>
        <v/>
      </c>
      <c r="H414" s="8" t="n"/>
      <c r="I414" s="17">
        <f>IF(E414="","",IF(H414="Vendida",E414*Resumen!$B$3,0))</f>
        <v/>
      </c>
      <c r="J414" s="16" t="n"/>
      <c r="K414" s="17">
        <f>IF(I414="","",MAX(0,I414-IF(J414="",0,J414)))</f>
        <v/>
      </c>
      <c r="L414" s="8" t="n"/>
    </row>
    <row r="415">
      <c r="A415" s="15" t="n"/>
      <c r="B415" s="8" t="n"/>
      <c r="C415" s="8" t="n"/>
      <c r="D415" s="8" t="n"/>
      <c r="E415" s="16" t="n"/>
      <c r="F415" s="16" t="n"/>
      <c r="G415" s="17">
        <f>IF(E415="","",E415+IF(F415="",0,F415))</f>
        <v/>
      </c>
      <c r="H415" s="8" t="n"/>
      <c r="I415" s="17">
        <f>IF(E415="","",IF(H415="Vendida",E415*Resumen!$B$3,0))</f>
        <v/>
      </c>
      <c r="J415" s="16" t="n"/>
      <c r="K415" s="17">
        <f>IF(I415="","",MAX(0,I415-IF(J415="",0,J415)))</f>
        <v/>
      </c>
      <c r="L415" s="8" t="n"/>
    </row>
    <row r="416">
      <c r="A416" s="15" t="n"/>
      <c r="B416" s="8" t="n"/>
      <c r="C416" s="8" t="n"/>
      <c r="D416" s="8" t="n"/>
      <c r="E416" s="16" t="n"/>
      <c r="F416" s="16" t="n"/>
      <c r="G416" s="17">
        <f>IF(E416="","",E416+IF(F416="",0,F416))</f>
        <v/>
      </c>
      <c r="H416" s="8" t="n"/>
      <c r="I416" s="17">
        <f>IF(E416="","",IF(H416="Vendida",E416*Resumen!$B$3,0))</f>
        <v/>
      </c>
      <c r="J416" s="16" t="n"/>
      <c r="K416" s="17">
        <f>IF(I416="","",MAX(0,I416-IF(J416="",0,J416)))</f>
        <v/>
      </c>
      <c r="L416" s="8" t="n"/>
    </row>
    <row r="417">
      <c r="A417" s="15" t="n"/>
      <c r="B417" s="8" t="n"/>
      <c r="C417" s="8" t="n"/>
      <c r="D417" s="8" t="n"/>
      <c r="E417" s="16" t="n"/>
      <c r="F417" s="16" t="n"/>
      <c r="G417" s="17">
        <f>IF(E417="","",E417+IF(F417="",0,F417))</f>
        <v/>
      </c>
      <c r="H417" s="8" t="n"/>
      <c r="I417" s="17">
        <f>IF(E417="","",IF(H417="Vendida",E417*Resumen!$B$3,0))</f>
        <v/>
      </c>
      <c r="J417" s="16" t="n"/>
      <c r="K417" s="17">
        <f>IF(I417="","",MAX(0,I417-IF(J417="",0,J417)))</f>
        <v/>
      </c>
      <c r="L417" s="8" t="n"/>
    </row>
    <row r="418">
      <c r="A418" s="15" t="n"/>
      <c r="B418" s="8" t="n"/>
      <c r="C418" s="8" t="n"/>
      <c r="D418" s="8" t="n"/>
      <c r="E418" s="16" t="n"/>
      <c r="F418" s="16" t="n"/>
      <c r="G418" s="17">
        <f>IF(E418="","",E418+IF(F418="",0,F418))</f>
        <v/>
      </c>
      <c r="H418" s="8" t="n"/>
      <c r="I418" s="17">
        <f>IF(E418="","",IF(H418="Vendida",E418*Resumen!$B$3,0))</f>
        <v/>
      </c>
      <c r="J418" s="16" t="n"/>
      <c r="K418" s="17">
        <f>IF(I418="","",MAX(0,I418-IF(J418="",0,J418)))</f>
        <v/>
      </c>
      <c r="L418" s="8" t="n"/>
    </row>
    <row r="419">
      <c r="A419" s="15" t="n"/>
      <c r="B419" s="8" t="n"/>
      <c r="C419" s="8" t="n"/>
      <c r="D419" s="8" t="n"/>
      <c r="E419" s="16" t="n"/>
      <c r="F419" s="16" t="n"/>
      <c r="G419" s="17">
        <f>IF(E419="","",E419+IF(F419="",0,F419))</f>
        <v/>
      </c>
      <c r="H419" s="8" t="n"/>
      <c r="I419" s="17">
        <f>IF(E419="","",IF(H419="Vendida",E419*Resumen!$B$3,0))</f>
        <v/>
      </c>
      <c r="J419" s="16" t="n"/>
      <c r="K419" s="17">
        <f>IF(I419="","",MAX(0,I419-IF(J419="",0,J419)))</f>
        <v/>
      </c>
      <c r="L419" s="8" t="n"/>
    </row>
    <row r="420">
      <c r="A420" s="15" t="n"/>
      <c r="B420" s="8" t="n"/>
      <c r="C420" s="8" t="n"/>
      <c r="D420" s="8" t="n"/>
      <c r="E420" s="16" t="n"/>
      <c r="F420" s="16" t="n"/>
      <c r="G420" s="17">
        <f>IF(E420="","",E420+IF(F420="",0,F420))</f>
        <v/>
      </c>
      <c r="H420" s="8" t="n"/>
      <c r="I420" s="17">
        <f>IF(E420="","",IF(H420="Vendida",E420*Resumen!$B$3,0))</f>
        <v/>
      </c>
      <c r="J420" s="16" t="n"/>
      <c r="K420" s="17">
        <f>IF(I420="","",MAX(0,I420-IF(J420="",0,J420)))</f>
        <v/>
      </c>
      <c r="L420" s="8" t="n"/>
    </row>
    <row r="421">
      <c r="A421" s="15" t="n"/>
      <c r="B421" s="8" t="n"/>
      <c r="C421" s="8" t="n"/>
      <c r="D421" s="8" t="n"/>
      <c r="E421" s="16" t="n"/>
      <c r="F421" s="16" t="n"/>
      <c r="G421" s="17">
        <f>IF(E421="","",E421+IF(F421="",0,F421))</f>
        <v/>
      </c>
      <c r="H421" s="8" t="n"/>
      <c r="I421" s="17">
        <f>IF(E421="","",IF(H421="Vendida",E421*Resumen!$B$3,0))</f>
        <v/>
      </c>
      <c r="J421" s="16" t="n"/>
      <c r="K421" s="17">
        <f>IF(I421="","",MAX(0,I421-IF(J421="",0,J421)))</f>
        <v/>
      </c>
      <c r="L421" s="8" t="n"/>
    </row>
    <row r="422">
      <c r="A422" s="15" t="n"/>
      <c r="B422" s="8" t="n"/>
      <c r="C422" s="8" t="n"/>
      <c r="D422" s="8" t="n"/>
      <c r="E422" s="16" t="n"/>
      <c r="F422" s="16" t="n"/>
      <c r="G422" s="17">
        <f>IF(E422="","",E422+IF(F422="",0,F422))</f>
        <v/>
      </c>
      <c r="H422" s="8" t="n"/>
      <c r="I422" s="17">
        <f>IF(E422="","",IF(H422="Vendida",E422*Resumen!$B$3,0))</f>
        <v/>
      </c>
      <c r="J422" s="16" t="n"/>
      <c r="K422" s="17">
        <f>IF(I422="","",MAX(0,I422-IF(J422="",0,J422)))</f>
        <v/>
      </c>
      <c r="L422" s="8" t="n"/>
    </row>
    <row r="423">
      <c r="A423" s="15" t="n"/>
      <c r="B423" s="8" t="n"/>
      <c r="C423" s="8" t="n"/>
      <c r="D423" s="8" t="n"/>
      <c r="E423" s="16" t="n"/>
      <c r="F423" s="16" t="n"/>
      <c r="G423" s="17">
        <f>IF(E423="","",E423+IF(F423="",0,F423))</f>
        <v/>
      </c>
      <c r="H423" s="8" t="n"/>
      <c r="I423" s="17">
        <f>IF(E423="","",IF(H423="Vendida",E423*Resumen!$B$3,0))</f>
        <v/>
      </c>
      <c r="J423" s="16" t="n"/>
      <c r="K423" s="17">
        <f>IF(I423="","",MAX(0,I423-IF(J423="",0,J423)))</f>
        <v/>
      </c>
      <c r="L423" s="8" t="n"/>
    </row>
    <row r="424">
      <c r="A424" s="15" t="n"/>
      <c r="B424" s="8" t="n"/>
      <c r="C424" s="8" t="n"/>
      <c r="D424" s="8" t="n"/>
      <c r="E424" s="16" t="n"/>
      <c r="F424" s="16" t="n"/>
      <c r="G424" s="17">
        <f>IF(E424="","",E424+IF(F424="",0,F424))</f>
        <v/>
      </c>
      <c r="H424" s="8" t="n"/>
      <c r="I424" s="17">
        <f>IF(E424="","",IF(H424="Vendida",E424*Resumen!$B$3,0))</f>
        <v/>
      </c>
      <c r="J424" s="16" t="n"/>
      <c r="K424" s="17">
        <f>IF(I424="","",MAX(0,I424-IF(J424="",0,J424)))</f>
        <v/>
      </c>
      <c r="L424" s="8" t="n"/>
    </row>
    <row r="425">
      <c r="A425" s="15" t="n"/>
      <c r="B425" s="8" t="n"/>
      <c r="C425" s="8" t="n"/>
      <c r="D425" s="8" t="n"/>
      <c r="E425" s="16" t="n"/>
      <c r="F425" s="16" t="n"/>
      <c r="G425" s="17">
        <f>IF(E425="","",E425+IF(F425="",0,F425))</f>
        <v/>
      </c>
      <c r="H425" s="8" t="n"/>
      <c r="I425" s="17">
        <f>IF(E425="","",IF(H425="Vendida",E425*Resumen!$B$3,0))</f>
        <v/>
      </c>
      <c r="J425" s="16" t="n"/>
      <c r="K425" s="17">
        <f>IF(I425="","",MAX(0,I425-IF(J425="",0,J425)))</f>
        <v/>
      </c>
      <c r="L425" s="8" t="n"/>
    </row>
    <row r="426">
      <c r="A426" s="15" t="n"/>
      <c r="B426" s="8" t="n"/>
      <c r="C426" s="8" t="n"/>
      <c r="D426" s="8" t="n"/>
      <c r="E426" s="16" t="n"/>
      <c r="F426" s="16" t="n"/>
      <c r="G426" s="17">
        <f>IF(E426="","",E426+IF(F426="",0,F426))</f>
        <v/>
      </c>
      <c r="H426" s="8" t="n"/>
      <c r="I426" s="17">
        <f>IF(E426="","",IF(H426="Vendida",E426*Resumen!$B$3,0))</f>
        <v/>
      </c>
      <c r="J426" s="16" t="n"/>
      <c r="K426" s="17">
        <f>IF(I426="","",MAX(0,I426-IF(J426="",0,J426)))</f>
        <v/>
      </c>
      <c r="L426" s="8" t="n"/>
    </row>
    <row r="427">
      <c r="A427" s="15" t="n"/>
      <c r="B427" s="8" t="n"/>
      <c r="C427" s="8" t="n"/>
      <c r="D427" s="8" t="n"/>
      <c r="E427" s="16" t="n"/>
      <c r="F427" s="16" t="n"/>
      <c r="G427" s="17">
        <f>IF(E427="","",E427+IF(F427="",0,F427))</f>
        <v/>
      </c>
      <c r="H427" s="8" t="n"/>
      <c r="I427" s="17">
        <f>IF(E427="","",IF(H427="Vendida",E427*Resumen!$B$3,0))</f>
        <v/>
      </c>
      <c r="J427" s="16" t="n"/>
      <c r="K427" s="17">
        <f>IF(I427="","",MAX(0,I427-IF(J427="",0,J427)))</f>
        <v/>
      </c>
      <c r="L427" s="8" t="n"/>
    </row>
    <row r="428">
      <c r="A428" s="15" t="n"/>
      <c r="B428" s="8" t="n"/>
      <c r="C428" s="8" t="n"/>
      <c r="D428" s="8" t="n"/>
      <c r="E428" s="16" t="n"/>
      <c r="F428" s="16" t="n"/>
      <c r="G428" s="17">
        <f>IF(E428="","",E428+IF(F428="",0,F428))</f>
        <v/>
      </c>
      <c r="H428" s="8" t="n"/>
      <c r="I428" s="17">
        <f>IF(E428="","",IF(H428="Vendida",E428*Resumen!$B$3,0))</f>
        <v/>
      </c>
      <c r="J428" s="16" t="n"/>
      <c r="K428" s="17">
        <f>IF(I428="","",MAX(0,I428-IF(J428="",0,J428)))</f>
        <v/>
      </c>
      <c r="L428" s="8" t="n"/>
    </row>
    <row r="429">
      <c r="A429" s="15" t="n"/>
      <c r="B429" s="8" t="n"/>
      <c r="C429" s="8" t="n"/>
      <c r="D429" s="8" t="n"/>
      <c r="E429" s="16" t="n"/>
      <c r="F429" s="16" t="n"/>
      <c r="G429" s="17">
        <f>IF(E429="","",E429+IF(F429="",0,F429))</f>
        <v/>
      </c>
      <c r="H429" s="8" t="n"/>
      <c r="I429" s="17">
        <f>IF(E429="","",IF(H429="Vendida",E429*Resumen!$B$3,0))</f>
        <v/>
      </c>
      <c r="J429" s="16" t="n"/>
      <c r="K429" s="17">
        <f>IF(I429="","",MAX(0,I429-IF(J429="",0,J429)))</f>
        <v/>
      </c>
      <c r="L429" s="8" t="n"/>
    </row>
    <row r="430">
      <c r="A430" s="15" t="n"/>
      <c r="B430" s="8" t="n"/>
      <c r="C430" s="8" t="n"/>
      <c r="D430" s="8" t="n"/>
      <c r="E430" s="16" t="n"/>
      <c r="F430" s="16" t="n"/>
      <c r="G430" s="17">
        <f>IF(E430="","",E430+IF(F430="",0,F430))</f>
        <v/>
      </c>
      <c r="H430" s="8" t="n"/>
      <c r="I430" s="17">
        <f>IF(E430="","",IF(H430="Vendida",E430*Resumen!$B$3,0))</f>
        <v/>
      </c>
      <c r="J430" s="16" t="n"/>
      <c r="K430" s="17">
        <f>IF(I430="","",MAX(0,I430-IF(J430="",0,J430)))</f>
        <v/>
      </c>
      <c r="L430" s="8" t="n"/>
    </row>
    <row r="431">
      <c r="A431" s="15" t="n"/>
      <c r="B431" s="8" t="n"/>
      <c r="C431" s="8" t="n"/>
      <c r="D431" s="8" t="n"/>
      <c r="E431" s="16" t="n"/>
      <c r="F431" s="16" t="n"/>
      <c r="G431" s="17">
        <f>IF(E431="","",E431+IF(F431="",0,F431))</f>
        <v/>
      </c>
      <c r="H431" s="8" t="n"/>
      <c r="I431" s="17">
        <f>IF(E431="","",IF(H431="Vendida",E431*Resumen!$B$3,0))</f>
        <v/>
      </c>
      <c r="J431" s="16" t="n"/>
      <c r="K431" s="17">
        <f>IF(I431="","",MAX(0,I431-IF(J431="",0,J431)))</f>
        <v/>
      </c>
      <c r="L431" s="8" t="n"/>
    </row>
    <row r="432">
      <c r="A432" s="15" t="n"/>
      <c r="B432" s="8" t="n"/>
      <c r="C432" s="8" t="n"/>
      <c r="D432" s="8" t="n"/>
      <c r="E432" s="16" t="n"/>
      <c r="F432" s="16" t="n"/>
      <c r="G432" s="17">
        <f>IF(E432="","",E432+IF(F432="",0,F432))</f>
        <v/>
      </c>
      <c r="H432" s="8" t="n"/>
      <c r="I432" s="17">
        <f>IF(E432="","",IF(H432="Vendida",E432*Resumen!$B$3,0))</f>
        <v/>
      </c>
      <c r="J432" s="16" t="n"/>
      <c r="K432" s="17">
        <f>IF(I432="","",MAX(0,I432-IF(J432="",0,J432)))</f>
        <v/>
      </c>
      <c r="L432" s="8" t="n"/>
    </row>
    <row r="433">
      <c r="A433" s="15" t="n"/>
      <c r="B433" s="8" t="n"/>
      <c r="C433" s="8" t="n"/>
      <c r="D433" s="8" t="n"/>
      <c r="E433" s="16" t="n"/>
      <c r="F433" s="16" t="n"/>
      <c r="G433" s="17">
        <f>IF(E433="","",E433+IF(F433="",0,F433))</f>
        <v/>
      </c>
      <c r="H433" s="8" t="n"/>
      <c r="I433" s="17">
        <f>IF(E433="","",IF(H433="Vendida",E433*Resumen!$B$3,0))</f>
        <v/>
      </c>
      <c r="J433" s="16" t="n"/>
      <c r="K433" s="17">
        <f>IF(I433="","",MAX(0,I433-IF(J433="",0,J433)))</f>
        <v/>
      </c>
      <c r="L433" s="8" t="n"/>
    </row>
    <row r="434">
      <c r="A434" s="15" t="n"/>
      <c r="B434" s="8" t="n"/>
      <c r="C434" s="8" t="n"/>
      <c r="D434" s="8" t="n"/>
      <c r="E434" s="16" t="n"/>
      <c r="F434" s="16" t="n"/>
      <c r="G434" s="17">
        <f>IF(E434="","",E434+IF(F434="",0,F434))</f>
        <v/>
      </c>
      <c r="H434" s="8" t="n"/>
      <c r="I434" s="17">
        <f>IF(E434="","",IF(H434="Vendida",E434*Resumen!$B$3,0))</f>
        <v/>
      </c>
      <c r="J434" s="16" t="n"/>
      <c r="K434" s="17">
        <f>IF(I434="","",MAX(0,I434-IF(J434="",0,J434)))</f>
        <v/>
      </c>
      <c r="L434" s="8" t="n"/>
    </row>
    <row r="435">
      <c r="A435" s="15" t="n"/>
      <c r="B435" s="8" t="n"/>
      <c r="C435" s="8" t="n"/>
      <c r="D435" s="8" t="n"/>
      <c r="E435" s="16" t="n"/>
      <c r="F435" s="16" t="n"/>
      <c r="G435" s="17">
        <f>IF(E435="","",E435+IF(F435="",0,F435))</f>
        <v/>
      </c>
      <c r="H435" s="8" t="n"/>
      <c r="I435" s="17">
        <f>IF(E435="","",IF(H435="Vendida",E435*Resumen!$B$3,0))</f>
        <v/>
      </c>
      <c r="J435" s="16" t="n"/>
      <c r="K435" s="17">
        <f>IF(I435="","",MAX(0,I435-IF(J435="",0,J435)))</f>
        <v/>
      </c>
      <c r="L435" s="8" t="n"/>
    </row>
    <row r="436">
      <c r="A436" s="15" t="n"/>
      <c r="B436" s="8" t="n"/>
      <c r="C436" s="8" t="n"/>
      <c r="D436" s="8" t="n"/>
      <c r="E436" s="16" t="n"/>
      <c r="F436" s="16" t="n"/>
      <c r="G436" s="17">
        <f>IF(E436="","",E436+IF(F436="",0,F436))</f>
        <v/>
      </c>
      <c r="H436" s="8" t="n"/>
      <c r="I436" s="17">
        <f>IF(E436="","",IF(H436="Vendida",E436*Resumen!$B$3,0))</f>
        <v/>
      </c>
      <c r="J436" s="16" t="n"/>
      <c r="K436" s="17">
        <f>IF(I436="","",MAX(0,I436-IF(J436="",0,J436)))</f>
        <v/>
      </c>
      <c r="L436" s="8" t="n"/>
    </row>
    <row r="437">
      <c r="A437" s="15" t="n"/>
      <c r="B437" s="8" t="n"/>
      <c r="C437" s="8" t="n"/>
      <c r="D437" s="8" t="n"/>
      <c r="E437" s="16" t="n"/>
      <c r="F437" s="16" t="n"/>
      <c r="G437" s="17">
        <f>IF(E437="","",E437+IF(F437="",0,F437))</f>
        <v/>
      </c>
      <c r="H437" s="8" t="n"/>
      <c r="I437" s="17">
        <f>IF(E437="","",IF(H437="Vendida",E437*Resumen!$B$3,0))</f>
        <v/>
      </c>
      <c r="J437" s="16" t="n"/>
      <c r="K437" s="17">
        <f>IF(I437="","",MAX(0,I437-IF(J437="",0,J437)))</f>
        <v/>
      </c>
      <c r="L437" s="8" t="n"/>
    </row>
    <row r="438">
      <c r="A438" s="15" t="n"/>
      <c r="B438" s="8" t="n"/>
      <c r="C438" s="8" t="n"/>
      <c r="D438" s="8" t="n"/>
      <c r="E438" s="16" t="n"/>
      <c r="F438" s="16" t="n"/>
      <c r="G438" s="17">
        <f>IF(E438="","",E438+IF(F438="",0,F438))</f>
        <v/>
      </c>
      <c r="H438" s="8" t="n"/>
      <c r="I438" s="17">
        <f>IF(E438="","",IF(H438="Vendida",E438*Resumen!$B$3,0))</f>
        <v/>
      </c>
      <c r="J438" s="16" t="n"/>
      <c r="K438" s="17">
        <f>IF(I438="","",MAX(0,I438-IF(J438="",0,J438)))</f>
        <v/>
      </c>
      <c r="L438" s="8" t="n"/>
    </row>
    <row r="439">
      <c r="A439" s="15" t="n"/>
      <c r="B439" s="8" t="n"/>
      <c r="C439" s="8" t="n"/>
      <c r="D439" s="8" t="n"/>
      <c r="E439" s="16" t="n"/>
      <c r="F439" s="16" t="n"/>
      <c r="G439" s="17">
        <f>IF(E439="","",E439+IF(F439="",0,F439))</f>
        <v/>
      </c>
      <c r="H439" s="8" t="n"/>
      <c r="I439" s="17">
        <f>IF(E439="","",IF(H439="Vendida",E439*Resumen!$B$3,0))</f>
        <v/>
      </c>
      <c r="J439" s="16" t="n"/>
      <c r="K439" s="17">
        <f>IF(I439="","",MAX(0,I439-IF(J439="",0,J439)))</f>
        <v/>
      </c>
      <c r="L439" s="8" t="n"/>
    </row>
    <row r="440">
      <c r="A440" s="15" t="n"/>
      <c r="B440" s="8" t="n"/>
      <c r="C440" s="8" t="n"/>
      <c r="D440" s="8" t="n"/>
      <c r="E440" s="16" t="n"/>
      <c r="F440" s="16" t="n"/>
      <c r="G440" s="17">
        <f>IF(E440="","",E440+IF(F440="",0,F440))</f>
        <v/>
      </c>
      <c r="H440" s="8" t="n"/>
      <c r="I440" s="17">
        <f>IF(E440="","",IF(H440="Vendida",E440*Resumen!$B$3,0))</f>
        <v/>
      </c>
      <c r="J440" s="16" t="n"/>
      <c r="K440" s="17">
        <f>IF(I440="","",MAX(0,I440-IF(J440="",0,J440)))</f>
        <v/>
      </c>
      <c r="L440" s="8" t="n"/>
    </row>
    <row r="441">
      <c r="A441" s="15" t="n"/>
      <c r="B441" s="8" t="n"/>
      <c r="C441" s="8" t="n"/>
      <c r="D441" s="8" t="n"/>
      <c r="E441" s="16" t="n"/>
      <c r="F441" s="16" t="n"/>
      <c r="G441" s="17">
        <f>IF(E441="","",E441+IF(F441="",0,F441))</f>
        <v/>
      </c>
      <c r="H441" s="8" t="n"/>
      <c r="I441" s="17">
        <f>IF(E441="","",IF(H441="Vendida",E441*Resumen!$B$3,0))</f>
        <v/>
      </c>
      <c r="J441" s="16" t="n"/>
      <c r="K441" s="17">
        <f>IF(I441="","",MAX(0,I441-IF(J441="",0,J441)))</f>
        <v/>
      </c>
      <c r="L441" s="8" t="n"/>
    </row>
    <row r="442">
      <c r="A442" s="15" t="n"/>
      <c r="B442" s="8" t="n"/>
      <c r="C442" s="8" t="n"/>
      <c r="D442" s="8" t="n"/>
      <c r="E442" s="16" t="n"/>
      <c r="F442" s="16" t="n"/>
      <c r="G442" s="17">
        <f>IF(E442="","",E442+IF(F442="",0,F442))</f>
        <v/>
      </c>
      <c r="H442" s="8" t="n"/>
      <c r="I442" s="17">
        <f>IF(E442="","",IF(H442="Vendida",E442*Resumen!$B$3,0))</f>
        <v/>
      </c>
      <c r="J442" s="16" t="n"/>
      <c r="K442" s="17">
        <f>IF(I442="","",MAX(0,I442-IF(J442="",0,J442)))</f>
        <v/>
      </c>
      <c r="L442" s="8" t="n"/>
    </row>
    <row r="443">
      <c r="A443" s="15" t="n"/>
      <c r="B443" s="8" t="n"/>
      <c r="C443" s="8" t="n"/>
      <c r="D443" s="8" t="n"/>
      <c r="E443" s="16" t="n"/>
      <c r="F443" s="16" t="n"/>
      <c r="G443" s="17">
        <f>IF(E443="","",E443+IF(F443="",0,F443))</f>
        <v/>
      </c>
      <c r="H443" s="8" t="n"/>
      <c r="I443" s="17">
        <f>IF(E443="","",IF(H443="Vendida",E443*Resumen!$B$3,0))</f>
        <v/>
      </c>
      <c r="J443" s="16" t="n"/>
      <c r="K443" s="17">
        <f>IF(I443="","",MAX(0,I443-IF(J443="",0,J443)))</f>
        <v/>
      </c>
      <c r="L443" s="8" t="n"/>
    </row>
    <row r="444">
      <c r="A444" s="15" t="n"/>
      <c r="B444" s="8" t="n"/>
      <c r="C444" s="8" t="n"/>
      <c r="D444" s="8" t="n"/>
      <c r="E444" s="16" t="n"/>
      <c r="F444" s="16" t="n"/>
      <c r="G444" s="17">
        <f>IF(E444="","",E444+IF(F444="",0,F444))</f>
        <v/>
      </c>
      <c r="H444" s="8" t="n"/>
      <c r="I444" s="17">
        <f>IF(E444="","",IF(H444="Vendida",E444*Resumen!$B$3,0))</f>
        <v/>
      </c>
      <c r="J444" s="16" t="n"/>
      <c r="K444" s="17">
        <f>IF(I444="","",MAX(0,I444-IF(J444="",0,J444)))</f>
        <v/>
      </c>
      <c r="L444" s="8" t="n"/>
    </row>
    <row r="445">
      <c r="A445" s="15" t="n"/>
      <c r="B445" s="8" t="n"/>
      <c r="C445" s="8" t="n"/>
      <c r="D445" s="8" t="n"/>
      <c r="E445" s="16" t="n"/>
      <c r="F445" s="16" t="n"/>
      <c r="G445" s="17">
        <f>IF(E445="","",E445+IF(F445="",0,F445))</f>
        <v/>
      </c>
      <c r="H445" s="8" t="n"/>
      <c r="I445" s="17">
        <f>IF(E445="","",IF(H445="Vendida",E445*Resumen!$B$3,0))</f>
        <v/>
      </c>
      <c r="J445" s="16" t="n"/>
      <c r="K445" s="17">
        <f>IF(I445="","",MAX(0,I445-IF(J445="",0,J445)))</f>
        <v/>
      </c>
      <c r="L445" s="8" t="n"/>
    </row>
    <row r="446">
      <c r="A446" s="15" t="n"/>
      <c r="B446" s="8" t="n"/>
      <c r="C446" s="8" t="n"/>
      <c r="D446" s="8" t="n"/>
      <c r="E446" s="16" t="n"/>
      <c r="F446" s="16" t="n"/>
      <c r="G446" s="17">
        <f>IF(E446="","",E446+IF(F446="",0,F446))</f>
        <v/>
      </c>
      <c r="H446" s="8" t="n"/>
      <c r="I446" s="17">
        <f>IF(E446="","",IF(H446="Vendida",E446*Resumen!$B$3,0))</f>
        <v/>
      </c>
      <c r="J446" s="16" t="n"/>
      <c r="K446" s="17">
        <f>IF(I446="","",MAX(0,I446-IF(J446="",0,J446)))</f>
        <v/>
      </c>
      <c r="L446" s="8" t="n"/>
    </row>
    <row r="447">
      <c r="A447" s="15" t="n"/>
      <c r="B447" s="8" t="n"/>
      <c r="C447" s="8" t="n"/>
      <c r="D447" s="8" t="n"/>
      <c r="E447" s="16" t="n"/>
      <c r="F447" s="16" t="n"/>
      <c r="G447" s="17">
        <f>IF(E447="","",E447+IF(F447="",0,F447))</f>
        <v/>
      </c>
      <c r="H447" s="8" t="n"/>
      <c r="I447" s="17">
        <f>IF(E447="","",IF(H447="Vendida",E447*Resumen!$B$3,0))</f>
        <v/>
      </c>
      <c r="J447" s="16" t="n"/>
      <c r="K447" s="17">
        <f>IF(I447="","",MAX(0,I447-IF(J447="",0,J447)))</f>
        <v/>
      </c>
      <c r="L447" s="8" t="n"/>
    </row>
    <row r="448">
      <c r="A448" s="15" t="n"/>
      <c r="B448" s="8" t="n"/>
      <c r="C448" s="8" t="n"/>
      <c r="D448" s="8" t="n"/>
      <c r="E448" s="16" t="n"/>
      <c r="F448" s="16" t="n"/>
      <c r="G448" s="17">
        <f>IF(E448="","",E448+IF(F448="",0,F448))</f>
        <v/>
      </c>
      <c r="H448" s="8" t="n"/>
      <c r="I448" s="17">
        <f>IF(E448="","",IF(H448="Vendida",E448*Resumen!$B$3,0))</f>
        <v/>
      </c>
      <c r="J448" s="16" t="n"/>
      <c r="K448" s="17">
        <f>IF(I448="","",MAX(0,I448-IF(J448="",0,J448)))</f>
        <v/>
      </c>
      <c r="L448" s="8" t="n"/>
    </row>
    <row r="449">
      <c r="A449" s="15" t="n"/>
      <c r="B449" s="8" t="n"/>
      <c r="C449" s="8" t="n"/>
      <c r="D449" s="8" t="n"/>
      <c r="E449" s="16" t="n"/>
      <c r="F449" s="16" t="n"/>
      <c r="G449" s="17">
        <f>IF(E449="","",E449+IF(F449="",0,F449))</f>
        <v/>
      </c>
      <c r="H449" s="8" t="n"/>
      <c r="I449" s="17">
        <f>IF(E449="","",IF(H449="Vendida",E449*Resumen!$B$3,0))</f>
        <v/>
      </c>
      <c r="J449" s="16" t="n"/>
      <c r="K449" s="17">
        <f>IF(I449="","",MAX(0,I449-IF(J449="",0,J449)))</f>
        <v/>
      </c>
      <c r="L449" s="8" t="n"/>
    </row>
    <row r="450">
      <c r="A450" s="15" t="n"/>
      <c r="B450" s="8" t="n"/>
      <c r="C450" s="8" t="n"/>
      <c r="D450" s="8" t="n"/>
      <c r="E450" s="16" t="n"/>
      <c r="F450" s="16" t="n"/>
      <c r="G450" s="17">
        <f>IF(E450="","",E450+IF(F450="",0,F450))</f>
        <v/>
      </c>
      <c r="H450" s="8" t="n"/>
      <c r="I450" s="17">
        <f>IF(E450="","",IF(H450="Vendida",E450*Resumen!$B$3,0))</f>
        <v/>
      </c>
      <c r="J450" s="16" t="n"/>
      <c r="K450" s="17">
        <f>IF(I450="","",MAX(0,I450-IF(J450="",0,J450)))</f>
        <v/>
      </c>
      <c r="L450" s="8" t="n"/>
    </row>
    <row r="451">
      <c r="A451" s="15" t="n"/>
      <c r="B451" s="8" t="n"/>
      <c r="C451" s="8" t="n"/>
      <c r="D451" s="8" t="n"/>
      <c r="E451" s="16" t="n"/>
      <c r="F451" s="16" t="n"/>
      <c r="G451" s="17">
        <f>IF(E451="","",E451+IF(F451="",0,F451))</f>
        <v/>
      </c>
      <c r="H451" s="8" t="n"/>
      <c r="I451" s="17">
        <f>IF(E451="","",IF(H451="Vendida",E451*Resumen!$B$3,0))</f>
        <v/>
      </c>
      <c r="J451" s="16" t="n"/>
      <c r="K451" s="17">
        <f>IF(I451="","",MAX(0,I451-IF(J451="",0,J451)))</f>
        <v/>
      </c>
      <c r="L451" s="8" t="n"/>
    </row>
    <row r="452">
      <c r="A452" s="15" t="n"/>
      <c r="B452" s="8" t="n"/>
      <c r="C452" s="8" t="n"/>
      <c r="D452" s="8" t="n"/>
      <c r="E452" s="16" t="n"/>
      <c r="F452" s="16" t="n"/>
      <c r="G452" s="17">
        <f>IF(E452="","",E452+IF(F452="",0,F452))</f>
        <v/>
      </c>
      <c r="H452" s="8" t="n"/>
      <c r="I452" s="17">
        <f>IF(E452="","",IF(H452="Vendida",E452*Resumen!$B$3,0))</f>
        <v/>
      </c>
      <c r="J452" s="16" t="n"/>
      <c r="K452" s="17">
        <f>IF(I452="","",MAX(0,I452-IF(J452="",0,J452)))</f>
        <v/>
      </c>
      <c r="L452" s="8" t="n"/>
    </row>
    <row r="453">
      <c r="A453" s="15" t="n"/>
      <c r="B453" s="8" t="n"/>
      <c r="C453" s="8" t="n"/>
      <c r="D453" s="8" t="n"/>
      <c r="E453" s="16" t="n"/>
      <c r="F453" s="16" t="n"/>
      <c r="G453" s="17">
        <f>IF(E453="","",E453+IF(F453="",0,F453))</f>
        <v/>
      </c>
      <c r="H453" s="8" t="n"/>
      <c r="I453" s="17">
        <f>IF(E453="","",IF(H453="Vendida",E453*Resumen!$B$3,0))</f>
        <v/>
      </c>
      <c r="J453" s="16" t="n"/>
      <c r="K453" s="17">
        <f>IF(I453="","",MAX(0,I453-IF(J453="",0,J453)))</f>
        <v/>
      </c>
      <c r="L453" s="8" t="n"/>
    </row>
    <row r="454">
      <c r="A454" s="15" t="n"/>
      <c r="B454" s="8" t="n"/>
      <c r="C454" s="8" t="n"/>
      <c r="D454" s="8" t="n"/>
      <c r="E454" s="16" t="n"/>
      <c r="F454" s="16" t="n"/>
      <c r="G454" s="17">
        <f>IF(E454="","",E454+IF(F454="",0,F454))</f>
        <v/>
      </c>
      <c r="H454" s="8" t="n"/>
      <c r="I454" s="17">
        <f>IF(E454="","",IF(H454="Vendida",E454*Resumen!$B$3,0))</f>
        <v/>
      </c>
      <c r="J454" s="16" t="n"/>
      <c r="K454" s="17">
        <f>IF(I454="","",MAX(0,I454-IF(J454="",0,J454)))</f>
        <v/>
      </c>
      <c r="L454" s="8" t="n"/>
    </row>
    <row r="455">
      <c r="A455" s="15" t="n"/>
      <c r="B455" s="8" t="n"/>
      <c r="C455" s="8" t="n"/>
      <c r="D455" s="8" t="n"/>
      <c r="E455" s="16" t="n"/>
      <c r="F455" s="16" t="n"/>
      <c r="G455" s="17">
        <f>IF(E455="","",E455+IF(F455="",0,F455))</f>
        <v/>
      </c>
      <c r="H455" s="8" t="n"/>
      <c r="I455" s="17">
        <f>IF(E455="","",IF(H455="Vendida",E455*Resumen!$B$3,0))</f>
        <v/>
      </c>
      <c r="J455" s="16" t="n"/>
      <c r="K455" s="17">
        <f>IF(I455="","",MAX(0,I455-IF(J455="",0,J455)))</f>
        <v/>
      </c>
      <c r="L455" s="8" t="n"/>
    </row>
    <row r="456">
      <c r="A456" s="15" t="n"/>
      <c r="B456" s="8" t="n"/>
      <c r="C456" s="8" t="n"/>
      <c r="D456" s="8" t="n"/>
      <c r="E456" s="16" t="n"/>
      <c r="F456" s="16" t="n"/>
      <c r="G456" s="17">
        <f>IF(E456="","",E456+IF(F456="",0,F456))</f>
        <v/>
      </c>
      <c r="H456" s="8" t="n"/>
      <c r="I456" s="17">
        <f>IF(E456="","",IF(H456="Vendida",E456*Resumen!$B$3,0))</f>
        <v/>
      </c>
      <c r="J456" s="16" t="n"/>
      <c r="K456" s="17">
        <f>IF(I456="","",MAX(0,I456-IF(J456="",0,J456)))</f>
        <v/>
      </c>
      <c r="L456" s="8" t="n"/>
    </row>
    <row r="457">
      <c r="A457" s="15" t="n"/>
      <c r="B457" s="8" t="n"/>
      <c r="C457" s="8" t="n"/>
      <c r="D457" s="8" t="n"/>
      <c r="E457" s="16" t="n"/>
      <c r="F457" s="16" t="n"/>
      <c r="G457" s="17">
        <f>IF(E457="","",E457+IF(F457="",0,F457))</f>
        <v/>
      </c>
      <c r="H457" s="8" t="n"/>
      <c r="I457" s="17">
        <f>IF(E457="","",IF(H457="Vendida",E457*Resumen!$B$3,0))</f>
        <v/>
      </c>
      <c r="J457" s="16" t="n"/>
      <c r="K457" s="17">
        <f>IF(I457="","",MAX(0,I457-IF(J457="",0,J457)))</f>
        <v/>
      </c>
      <c r="L457" s="8" t="n"/>
    </row>
    <row r="458">
      <c r="A458" s="15" t="n"/>
      <c r="B458" s="8" t="n"/>
      <c r="C458" s="8" t="n"/>
      <c r="D458" s="8" t="n"/>
      <c r="E458" s="16" t="n"/>
      <c r="F458" s="16" t="n"/>
      <c r="G458" s="17">
        <f>IF(E458="","",E458+IF(F458="",0,F458))</f>
        <v/>
      </c>
      <c r="H458" s="8" t="n"/>
      <c r="I458" s="17">
        <f>IF(E458="","",IF(H458="Vendida",E458*Resumen!$B$3,0))</f>
        <v/>
      </c>
      <c r="J458" s="16" t="n"/>
      <c r="K458" s="17">
        <f>IF(I458="","",MAX(0,I458-IF(J458="",0,J458)))</f>
        <v/>
      </c>
      <c r="L458" s="8" t="n"/>
    </row>
    <row r="459">
      <c r="A459" s="15" t="n"/>
      <c r="B459" s="8" t="n"/>
      <c r="C459" s="8" t="n"/>
      <c r="D459" s="8" t="n"/>
      <c r="E459" s="16" t="n"/>
      <c r="F459" s="16" t="n"/>
      <c r="G459" s="17">
        <f>IF(E459="","",E459+IF(F459="",0,F459))</f>
        <v/>
      </c>
      <c r="H459" s="8" t="n"/>
      <c r="I459" s="17">
        <f>IF(E459="","",IF(H459="Vendida",E459*Resumen!$B$3,0))</f>
        <v/>
      </c>
      <c r="J459" s="16" t="n"/>
      <c r="K459" s="17">
        <f>IF(I459="","",MAX(0,I459-IF(J459="",0,J459)))</f>
        <v/>
      </c>
      <c r="L459" s="8" t="n"/>
    </row>
    <row r="460">
      <c r="A460" s="15" t="n"/>
      <c r="B460" s="8" t="n"/>
      <c r="C460" s="8" t="n"/>
      <c r="D460" s="8" t="n"/>
      <c r="E460" s="16" t="n"/>
      <c r="F460" s="16" t="n"/>
      <c r="G460" s="17">
        <f>IF(E460="","",E460+IF(F460="",0,F460))</f>
        <v/>
      </c>
      <c r="H460" s="8" t="n"/>
      <c r="I460" s="17">
        <f>IF(E460="","",IF(H460="Vendida",E460*Resumen!$B$3,0))</f>
        <v/>
      </c>
      <c r="J460" s="16" t="n"/>
      <c r="K460" s="17">
        <f>IF(I460="","",MAX(0,I460-IF(J460="",0,J460)))</f>
        <v/>
      </c>
      <c r="L460" s="8" t="n"/>
    </row>
    <row r="461">
      <c r="A461" s="15" t="n"/>
      <c r="B461" s="8" t="n"/>
      <c r="C461" s="8" t="n"/>
      <c r="D461" s="8" t="n"/>
      <c r="E461" s="16" t="n"/>
      <c r="F461" s="16" t="n"/>
      <c r="G461" s="17">
        <f>IF(E461="","",E461+IF(F461="",0,F461))</f>
        <v/>
      </c>
      <c r="H461" s="8" t="n"/>
      <c r="I461" s="17">
        <f>IF(E461="","",IF(H461="Vendida",E461*Resumen!$B$3,0))</f>
        <v/>
      </c>
      <c r="J461" s="16" t="n"/>
      <c r="K461" s="17">
        <f>IF(I461="","",MAX(0,I461-IF(J461="",0,J461)))</f>
        <v/>
      </c>
      <c r="L461" s="8" t="n"/>
    </row>
    <row r="462">
      <c r="A462" s="15" t="n"/>
      <c r="B462" s="8" t="n"/>
      <c r="C462" s="8" t="n"/>
      <c r="D462" s="8" t="n"/>
      <c r="E462" s="16" t="n"/>
      <c r="F462" s="16" t="n"/>
      <c r="G462" s="17">
        <f>IF(E462="","",E462+IF(F462="",0,F462))</f>
        <v/>
      </c>
      <c r="H462" s="8" t="n"/>
      <c r="I462" s="17">
        <f>IF(E462="","",IF(H462="Vendida",E462*Resumen!$B$3,0))</f>
        <v/>
      </c>
      <c r="J462" s="16" t="n"/>
      <c r="K462" s="17">
        <f>IF(I462="","",MAX(0,I462-IF(J462="",0,J462)))</f>
        <v/>
      </c>
      <c r="L462" s="8" t="n"/>
    </row>
    <row r="463">
      <c r="A463" s="15" t="n"/>
      <c r="B463" s="8" t="n"/>
      <c r="C463" s="8" t="n"/>
      <c r="D463" s="8" t="n"/>
      <c r="E463" s="16" t="n"/>
      <c r="F463" s="16" t="n"/>
      <c r="G463" s="17">
        <f>IF(E463="","",E463+IF(F463="",0,F463))</f>
        <v/>
      </c>
      <c r="H463" s="8" t="n"/>
      <c r="I463" s="17">
        <f>IF(E463="","",IF(H463="Vendida",E463*Resumen!$B$3,0))</f>
        <v/>
      </c>
      <c r="J463" s="16" t="n"/>
      <c r="K463" s="17">
        <f>IF(I463="","",MAX(0,I463-IF(J463="",0,J463)))</f>
        <v/>
      </c>
      <c r="L463" s="8" t="n"/>
    </row>
    <row r="464">
      <c r="A464" s="15" t="n"/>
      <c r="B464" s="8" t="n"/>
      <c r="C464" s="8" t="n"/>
      <c r="D464" s="8" t="n"/>
      <c r="E464" s="16" t="n"/>
      <c r="F464" s="16" t="n"/>
      <c r="G464" s="17">
        <f>IF(E464="","",E464+IF(F464="",0,F464))</f>
        <v/>
      </c>
      <c r="H464" s="8" t="n"/>
      <c r="I464" s="17">
        <f>IF(E464="","",IF(H464="Vendida",E464*Resumen!$B$3,0))</f>
        <v/>
      </c>
      <c r="J464" s="16" t="n"/>
      <c r="K464" s="17">
        <f>IF(I464="","",MAX(0,I464-IF(J464="",0,J464)))</f>
        <v/>
      </c>
      <c r="L464" s="8" t="n"/>
    </row>
    <row r="465">
      <c r="A465" s="15" t="n"/>
      <c r="B465" s="8" t="n"/>
      <c r="C465" s="8" t="n"/>
      <c r="D465" s="8" t="n"/>
      <c r="E465" s="16" t="n"/>
      <c r="F465" s="16" t="n"/>
      <c r="G465" s="17">
        <f>IF(E465="","",E465+IF(F465="",0,F465))</f>
        <v/>
      </c>
      <c r="H465" s="8" t="n"/>
      <c r="I465" s="17">
        <f>IF(E465="","",IF(H465="Vendida",E465*Resumen!$B$3,0))</f>
        <v/>
      </c>
      <c r="J465" s="16" t="n"/>
      <c r="K465" s="17">
        <f>IF(I465="","",MAX(0,I465-IF(J465="",0,J465)))</f>
        <v/>
      </c>
      <c r="L465" s="8" t="n"/>
    </row>
    <row r="466">
      <c r="A466" s="15" t="n"/>
      <c r="B466" s="8" t="n"/>
      <c r="C466" s="8" t="n"/>
      <c r="D466" s="8" t="n"/>
      <c r="E466" s="16" t="n"/>
      <c r="F466" s="16" t="n"/>
      <c r="G466" s="17">
        <f>IF(E466="","",E466+IF(F466="",0,F466))</f>
        <v/>
      </c>
      <c r="H466" s="8" t="n"/>
      <c r="I466" s="17">
        <f>IF(E466="","",IF(H466="Vendida",E466*Resumen!$B$3,0))</f>
        <v/>
      </c>
      <c r="J466" s="16" t="n"/>
      <c r="K466" s="17">
        <f>IF(I466="","",MAX(0,I466-IF(J466="",0,J466)))</f>
        <v/>
      </c>
      <c r="L466" s="8" t="n"/>
    </row>
    <row r="467">
      <c r="A467" s="15" t="n"/>
      <c r="B467" s="8" t="n"/>
      <c r="C467" s="8" t="n"/>
      <c r="D467" s="8" t="n"/>
      <c r="E467" s="16" t="n"/>
      <c r="F467" s="16" t="n"/>
      <c r="G467" s="17">
        <f>IF(E467="","",E467+IF(F467="",0,F467))</f>
        <v/>
      </c>
      <c r="H467" s="8" t="n"/>
      <c r="I467" s="17">
        <f>IF(E467="","",IF(H467="Vendida",E467*Resumen!$B$3,0))</f>
        <v/>
      </c>
      <c r="J467" s="16" t="n"/>
      <c r="K467" s="17">
        <f>IF(I467="","",MAX(0,I467-IF(J467="",0,J467)))</f>
        <v/>
      </c>
      <c r="L467" s="8" t="n"/>
    </row>
    <row r="468">
      <c r="A468" s="15" t="n"/>
      <c r="B468" s="8" t="n"/>
      <c r="C468" s="8" t="n"/>
      <c r="D468" s="8" t="n"/>
      <c r="E468" s="16" t="n"/>
      <c r="F468" s="16" t="n"/>
      <c r="G468" s="17">
        <f>IF(E468="","",E468+IF(F468="",0,F468))</f>
        <v/>
      </c>
      <c r="H468" s="8" t="n"/>
      <c r="I468" s="17">
        <f>IF(E468="","",IF(H468="Vendida",E468*Resumen!$B$3,0))</f>
        <v/>
      </c>
      <c r="J468" s="16" t="n"/>
      <c r="K468" s="17">
        <f>IF(I468="","",MAX(0,I468-IF(J468="",0,J468)))</f>
        <v/>
      </c>
      <c r="L468" s="8" t="n"/>
    </row>
    <row r="469">
      <c r="A469" s="15" t="n"/>
      <c r="B469" s="8" t="n"/>
      <c r="C469" s="8" t="n"/>
      <c r="D469" s="8" t="n"/>
      <c r="E469" s="16" t="n"/>
      <c r="F469" s="16" t="n"/>
      <c r="G469" s="17">
        <f>IF(E469="","",E469+IF(F469="",0,F469))</f>
        <v/>
      </c>
      <c r="H469" s="8" t="n"/>
      <c r="I469" s="17">
        <f>IF(E469="","",IF(H469="Vendida",E469*Resumen!$B$3,0))</f>
        <v/>
      </c>
      <c r="J469" s="16" t="n"/>
      <c r="K469" s="17">
        <f>IF(I469="","",MAX(0,I469-IF(J469="",0,J469)))</f>
        <v/>
      </c>
      <c r="L469" s="8" t="n"/>
    </row>
    <row r="470">
      <c r="A470" s="15" t="n"/>
      <c r="B470" s="8" t="n"/>
      <c r="C470" s="8" t="n"/>
      <c r="D470" s="8" t="n"/>
      <c r="E470" s="16" t="n"/>
      <c r="F470" s="16" t="n"/>
      <c r="G470" s="17">
        <f>IF(E470="","",E470+IF(F470="",0,F470))</f>
        <v/>
      </c>
      <c r="H470" s="8" t="n"/>
      <c r="I470" s="17">
        <f>IF(E470="","",IF(H470="Vendida",E470*Resumen!$B$3,0))</f>
        <v/>
      </c>
      <c r="J470" s="16" t="n"/>
      <c r="K470" s="17">
        <f>IF(I470="","",MAX(0,I470-IF(J470="",0,J470)))</f>
        <v/>
      </c>
      <c r="L470" s="8" t="n"/>
    </row>
    <row r="471">
      <c r="A471" s="15" t="n"/>
      <c r="B471" s="8" t="n"/>
      <c r="C471" s="8" t="n"/>
      <c r="D471" s="8" t="n"/>
      <c r="E471" s="16" t="n"/>
      <c r="F471" s="16" t="n"/>
      <c r="G471" s="17">
        <f>IF(E471="","",E471+IF(F471="",0,F471))</f>
        <v/>
      </c>
      <c r="H471" s="8" t="n"/>
      <c r="I471" s="17">
        <f>IF(E471="","",IF(H471="Vendida",E471*Resumen!$B$3,0))</f>
        <v/>
      </c>
      <c r="J471" s="16" t="n"/>
      <c r="K471" s="17">
        <f>IF(I471="","",MAX(0,I471-IF(J471="",0,J471)))</f>
        <v/>
      </c>
      <c r="L471" s="8" t="n"/>
    </row>
    <row r="472">
      <c r="A472" s="15" t="n"/>
      <c r="B472" s="8" t="n"/>
      <c r="C472" s="8" t="n"/>
      <c r="D472" s="8" t="n"/>
      <c r="E472" s="16" t="n"/>
      <c r="F472" s="16" t="n"/>
      <c r="G472" s="17">
        <f>IF(E472="","",E472+IF(F472="",0,F472))</f>
        <v/>
      </c>
      <c r="H472" s="8" t="n"/>
      <c r="I472" s="17">
        <f>IF(E472="","",IF(H472="Vendida",E472*Resumen!$B$3,0))</f>
        <v/>
      </c>
      <c r="J472" s="16" t="n"/>
      <c r="K472" s="17">
        <f>IF(I472="","",MAX(0,I472-IF(J472="",0,J472)))</f>
        <v/>
      </c>
      <c r="L472" s="8" t="n"/>
    </row>
    <row r="473">
      <c r="A473" s="15" t="n"/>
      <c r="B473" s="8" t="n"/>
      <c r="C473" s="8" t="n"/>
      <c r="D473" s="8" t="n"/>
      <c r="E473" s="16" t="n"/>
      <c r="F473" s="16" t="n"/>
      <c r="G473" s="17">
        <f>IF(E473="","",E473+IF(F473="",0,F473))</f>
        <v/>
      </c>
      <c r="H473" s="8" t="n"/>
      <c r="I473" s="17">
        <f>IF(E473="","",IF(H473="Vendida",E473*Resumen!$B$3,0))</f>
        <v/>
      </c>
      <c r="J473" s="16" t="n"/>
      <c r="K473" s="17">
        <f>IF(I473="","",MAX(0,I473-IF(J473="",0,J473)))</f>
        <v/>
      </c>
      <c r="L473" s="8" t="n"/>
    </row>
    <row r="474">
      <c r="A474" s="15" t="n"/>
      <c r="B474" s="8" t="n"/>
      <c r="C474" s="8" t="n"/>
      <c r="D474" s="8" t="n"/>
      <c r="E474" s="16" t="n"/>
      <c r="F474" s="16" t="n"/>
      <c r="G474" s="17">
        <f>IF(E474="","",E474+IF(F474="",0,F474))</f>
        <v/>
      </c>
      <c r="H474" s="8" t="n"/>
      <c r="I474" s="17">
        <f>IF(E474="","",IF(H474="Vendida",E474*Resumen!$B$3,0))</f>
        <v/>
      </c>
      <c r="J474" s="16" t="n"/>
      <c r="K474" s="17">
        <f>IF(I474="","",MAX(0,I474-IF(J474="",0,J474)))</f>
        <v/>
      </c>
      <c r="L474" s="8" t="n"/>
    </row>
    <row r="475">
      <c r="A475" s="15" t="n"/>
      <c r="B475" s="8" t="n"/>
      <c r="C475" s="8" t="n"/>
      <c r="D475" s="8" t="n"/>
      <c r="E475" s="16" t="n"/>
      <c r="F475" s="16" t="n"/>
      <c r="G475" s="17">
        <f>IF(E475="","",E475+IF(F475="",0,F475))</f>
        <v/>
      </c>
      <c r="H475" s="8" t="n"/>
      <c r="I475" s="17">
        <f>IF(E475="","",IF(H475="Vendida",E475*Resumen!$B$3,0))</f>
        <v/>
      </c>
      <c r="J475" s="16" t="n"/>
      <c r="K475" s="17">
        <f>IF(I475="","",MAX(0,I475-IF(J475="",0,J475)))</f>
        <v/>
      </c>
      <c r="L475" s="8" t="n"/>
    </row>
    <row r="476">
      <c r="A476" s="15" t="n"/>
      <c r="B476" s="8" t="n"/>
      <c r="C476" s="8" t="n"/>
      <c r="D476" s="8" t="n"/>
      <c r="E476" s="16" t="n"/>
      <c r="F476" s="16" t="n"/>
      <c r="G476" s="17">
        <f>IF(E476="","",E476+IF(F476="",0,F476))</f>
        <v/>
      </c>
      <c r="H476" s="8" t="n"/>
      <c r="I476" s="17">
        <f>IF(E476="","",IF(H476="Vendida",E476*Resumen!$B$3,0))</f>
        <v/>
      </c>
      <c r="J476" s="16" t="n"/>
      <c r="K476" s="17">
        <f>IF(I476="","",MAX(0,I476-IF(J476="",0,J476)))</f>
        <v/>
      </c>
      <c r="L476" s="8" t="n"/>
    </row>
    <row r="477">
      <c r="A477" s="15" t="n"/>
      <c r="B477" s="8" t="n"/>
      <c r="C477" s="8" t="n"/>
      <c r="D477" s="8" t="n"/>
      <c r="E477" s="16" t="n"/>
      <c r="F477" s="16" t="n"/>
      <c r="G477" s="17">
        <f>IF(E477="","",E477+IF(F477="",0,F477))</f>
        <v/>
      </c>
      <c r="H477" s="8" t="n"/>
      <c r="I477" s="17">
        <f>IF(E477="","",IF(H477="Vendida",E477*Resumen!$B$3,0))</f>
        <v/>
      </c>
      <c r="J477" s="16" t="n"/>
      <c r="K477" s="17">
        <f>IF(I477="","",MAX(0,I477-IF(J477="",0,J477)))</f>
        <v/>
      </c>
      <c r="L477" s="8" t="n"/>
    </row>
    <row r="478">
      <c r="A478" s="15" t="n"/>
      <c r="B478" s="8" t="n"/>
      <c r="C478" s="8" t="n"/>
      <c r="D478" s="8" t="n"/>
      <c r="E478" s="16" t="n"/>
      <c r="F478" s="16" t="n"/>
      <c r="G478" s="17">
        <f>IF(E478="","",E478+IF(F478="",0,F478))</f>
        <v/>
      </c>
      <c r="H478" s="8" t="n"/>
      <c r="I478" s="17">
        <f>IF(E478="","",IF(H478="Vendida",E478*Resumen!$B$3,0))</f>
        <v/>
      </c>
      <c r="J478" s="16" t="n"/>
      <c r="K478" s="17">
        <f>IF(I478="","",MAX(0,I478-IF(J478="",0,J478)))</f>
        <v/>
      </c>
      <c r="L478" s="8" t="n"/>
    </row>
    <row r="479">
      <c r="A479" s="15" t="n"/>
      <c r="B479" s="8" t="n"/>
      <c r="C479" s="8" t="n"/>
      <c r="D479" s="8" t="n"/>
      <c r="E479" s="16" t="n"/>
      <c r="F479" s="16" t="n"/>
      <c r="G479" s="17">
        <f>IF(E479="","",E479+IF(F479="",0,F479))</f>
        <v/>
      </c>
      <c r="H479" s="8" t="n"/>
      <c r="I479" s="17">
        <f>IF(E479="","",IF(H479="Vendida",E479*Resumen!$B$3,0))</f>
        <v/>
      </c>
      <c r="J479" s="16" t="n"/>
      <c r="K479" s="17">
        <f>IF(I479="","",MAX(0,I479-IF(J479="",0,J479)))</f>
        <v/>
      </c>
      <c r="L479" s="8" t="n"/>
    </row>
    <row r="480">
      <c r="A480" s="15" t="n"/>
      <c r="B480" s="8" t="n"/>
      <c r="C480" s="8" t="n"/>
      <c r="D480" s="8" t="n"/>
      <c r="E480" s="16" t="n"/>
      <c r="F480" s="16" t="n"/>
      <c r="G480" s="17">
        <f>IF(E480="","",E480+IF(F480="",0,F480))</f>
        <v/>
      </c>
      <c r="H480" s="8" t="n"/>
      <c r="I480" s="17">
        <f>IF(E480="","",IF(H480="Vendida",E480*Resumen!$B$3,0))</f>
        <v/>
      </c>
      <c r="J480" s="16" t="n"/>
      <c r="K480" s="17">
        <f>IF(I480="","",MAX(0,I480-IF(J480="",0,J480)))</f>
        <v/>
      </c>
      <c r="L480" s="8" t="n"/>
    </row>
    <row r="481">
      <c r="A481" s="15" t="n"/>
      <c r="B481" s="8" t="n"/>
      <c r="C481" s="8" t="n"/>
      <c r="D481" s="8" t="n"/>
      <c r="E481" s="16" t="n"/>
      <c r="F481" s="16" t="n"/>
      <c r="G481" s="17">
        <f>IF(E481="","",E481+IF(F481="",0,F481))</f>
        <v/>
      </c>
      <c r="H481" s="8" t="n"/>
      <c r="I481" s="17">
        <f>IF(E481="","",IF(H481="Vendida",E481*Resumen!$B$3,0))</f>
        <v/>
      </c>
      <c r="J481" s="16" t="n"/>
      <c r="K481" s="17">
        <f>IF(I481="","",MAX(0,I481-IF(J481="",0,J481)))</f>
        <v/>
      </c>
      <c r="L481" s="8" t="n"/>
    </row>
    <row r="482">
      <c r="A482" s="15" t="n"/>
      <c r="B482" s="8" t="n"/>
      <c r="C482" s="8" t="n"/>
      <c r="D482" s="8" t="n"/>
      <c r="E482" s="16" t="n"/>
      <c r="F482" s="16" t="n"/>
      <c r="G482" s="17">
        <f>IF(E482="","",E482+IF(F482="",0,F482))</f>
        <v/>
      </c>
      <c r="H482" s="8" t="n"/>
      <c r="I482" s="17">
        <f>IF(E482="","",IF(H482="Vendida",E482*Resumen!$B$3,0))</f>
        <v/>
      </c>
      <c r="J482" s="16" t="n"/>
      <c r="K482" s="17">
        <f>IF(I482="","",MAX(0,I482-IF(J482="",0,J482)))</f>
        <v/>
      </c>
      <c r="L482" s="8" t="n"/>
    </row>
    <row r="483">
      <c r="A483" s="15" t="n"/>
      <c r="B483" s="8" t="n"/>
      <c r="C483" s="8" t="n"/>
      <c r="D483" s="8" t="n"/>
      <c r="E483" s="16" t="n"/>
      <c r="F483" s="16" t="n"/>
      <c r="G483" s="17">
        <f>IF(E483="","",E483+IF(F483="",0,F483))</f>
        <v/>
      </c>
      <c r="H483" s="8" t="n"/>
      <c r="I483" s="17">
        <f>IF(E483="","",IF(H483="Vendida",E483*Resumen!$B$3,0))</f>
        <v/>
      </c>
      <c r="J483" s="16" t="n"/>
      <c r="K483" s="17">
        <f>IF(I483="","",MAX(0,I483-IF(J483="",0,J483)))</f>
        <v/>
      </c>
      <c r="L483" s="8" t="n"/>
    </row>
    <row r="484">
      <c r="A484" s="15" t="n"/>
      <c r="B484" s="8" t="n"/>
      <c r="C484" s="8" t="n"/>
      <c r="D484" s="8" t="n"/>
      <c r="E484" s="16" t="n"/>
      <c r="F484" s="16" t="n"/>
      <c r="G484" s="17">
        <f>IF(E484="","",E484+IF(F484="",0,F484))</f>
        <v/>
      </c>
      <c r="H484" s="8" t="n"/>
      <c r="I484" s="17">
        <f>IF(E484="","",IF(H484="Vendida",E484*Resumen!$B$3,0))</f>
        <v/>
      </c>
      <c r="J484" s="16" t="n"/>
      <c r="K484" s="17">
        <f>IF(I484="","",MAX(0,I484-IF(J484="",0,J484)))</f>
        <v/>
      </c>
      <c r="L484" s="8" t="n"/>
    </row>
    <row r="485">
      <c r="A485" s="15" t="n"/>
      <c r="B485" s="8" t="n"/>
      <c r="C485" s="8" t="n"/>
      <c r="D485" s="8" t="n"/>
      <c r="E485" s="16" t="n"/>
      <c r="F485" s="16" t="n"/>
      <c r="G485" s="17">
        <f>IF(E485="","",E485+IF(F485="",0,F485))</f>
        <v/>
      </c>
      <c r="H485" s="8" t="n"/>
      <c r="I485" s="17">
        <f>IF(E485="","",IF(H485="Vendida",E485*Resumen!$B$3,0))</f>
        <v/>
      </c>
      <c r="J485" s="16" t="n"/>
      <c r="K485" s="17">
        <f>IF(I485="","",MAX(0,I485-IF(J485="",0,J485)))</f>
        <v/>
      </c>
      <c r="L485" s="8" t="n"/>
    </row>
    <row r="486">
      <c r="A486" s="15" t="n"/>
      <c r="B486" s="8" t="n"/>
      <c r="C486" s="8" t="n"/>
      <c r="D486" s="8" t="n"/>
      <c r="E486" s="16" t="n"/>
      <c r="F486" s="16" t="n"/>
      <c r="G486" s="17">
        <f>IF(E486="","",E486+IF(F486="",0,F486))</f>
        <v/>
      </c>
      <c r="H486" s="8" t="n"/>
      <c r="I486" s="17">
        <f>IF(E486="","",IF(H486="Vendida",E486*Resumen!$B$3,0))</f>
        <v/>
      </c>
      <c r="J486" s="16" t="n"/>
      <c r="K486" s="17">
        <f>IF(I486="","",MAX(0,I486-IF(J486="",0,J486)))</f>
        <v/>
      </c>
      <c r="L486" s="8" t="n"/>
    </row>
    <row r="487">
      <c r="A487" s="15" t="n"/>
      <c r="B487" s="8" t="n"/>
      <c r="C487" s="8" t="n"/>
      <c r="D487" s="8" t="n"/>
      <c r="E487" s="16" t="n"/>
      <c r="F487" s="16" t="n"/>
      <c r="G487" s="17">
        <f>IF(E487="","",E487+IF(F487="",0,F487))</f>
        <v/>
      </c>
      <c r="H487" s="8" t="n"/>
      <c r="I487" s="17">
        <f>IF(E487="","",IF(H487="Vendida",E487*Resumen!$B$3,0))</f>
        <v/>
      </c>
      <c r="J487" s="16" t="n"/>
      <c r="K487" s="17">
        <f>IF(I487="","",MAX(0,I487-IF(J487="",0,J487)))</f>
        <v/>
      </c>
      <c r="L487" s="8" t="n"/>
    </row>
    <row r="488">
      <c r="A488" s="15" t="n"/>
      <c r="B488" s="8" t="n"/>
      <c r="C488" s="8" t="n"/>
      <c r="D488" s="8" t="n"/>
      <c r="E488" s="16" t="n"/>
      <c r="F488" s="16" t="n"/>
      <c r="G488" s="17">
        <f>IF(E488="","",E488+IF(F488="",0,F488))</f>
        <v/>
      </c>
      <c r="H488" s="8" t="n"/>
      <c r="I488" s="17">
        <f>IF(E488="","",IF(H488="Vendida",E488*Resumen!$B$3,0))</f>
        <v/>
      </c>
      <c r="J488" s="16" t="n"/>
      <c r="K488" s="17">
        <f>IF(I488="","",MAX(0,I488-IF(J488="",0,J488)))</f>
        <v/>
      </c>
      <c r="L488" s="8" t="n"/>
    </row>
    <row r="489">
      <c r="A489" s="15" t="n"/>
      <c r="B489" s="8" t="n"/>
      <c r="C489" s="8" t="n"/>
      <c r="D489" s="8" t="n"/>
      <c r="E489" s="16" t="n"/>
      <c r="F489" s="16" t="n"/>
      <c r="G489" s="17">
        <f>IF(E489="","",E489+IF(F489="",0,F489))</f>
        <v/>
      </c>
      <c r="H489" s="8" t="n"/>
      <c r="I489" s="17">
        <f>IF(E489="","",IF(H489="Vendida",E489*Resumen!$B$3,0))</f>
        <v/>
      </c>
      <c r="J489" s="16" t="n"/>
      <c r="K489" s="17">
        <f>IF(I489="","",MAX(0,I489-IF(J489="",0,J489)))</f>
        <v/>
      </c>
      <c r="L489" s="8" t="n"/>
    </row>
    <row r="490">
      <c r="A490" s="15" t="n"/>
      <c r="B490" s="8" t="n"/>
      <c r="C490" s="8" t="n"/>
      <c r="D490" s="8" t="n"/>
      <c r="E490" s="16" t="n"/>
      <c r="F490" s="16" t="n"/>
      <c r="G490" s="17">
        <f>IF(E490="","",E490+IF(F490="",0,F490))</f>
        <v/>
      </c>
      <c r="H490" s="8" t="n"/>
      <c r="I490" s="17">
        <f>IF(E490="","",IF(H490="Vendida",E490*Resumen!$B$3,0))</f>
        <v/>
      </c>
      <c r="J490" s="16" t="n"/>
      <c r="K490" s="17">
        <f>IF(I490="","",MAX(0,I490-IF(J490="",0,J490)))</f>
        <v/>
      </c>
      <c r="L490" s="8" t="n"/>
    </row>
    <row r="491">
      <c r="A491" s="15" t="n"/>
      <c r="B491" s="8" t="n"/>
      <c r="C491" s="8" t="n"/>
      <c r="D491" s="8" t="n"/>
      <c r="E491" s="16" t="n"/>
      <c r="F491" s="16" t="n"/>
      <c r="G491" s="17">
        <f>IF(E491="","",E491+IF(F491="",0,F491))</f>
        <v/>
      </c>
      <c r="H491" s="8" t="n"/>
      <c r="I491" s="17">
        <f>IF(E491="","",IF(H491="Vendida",E491*Resumen!$B$3,0))</f>
        <v/>
      </c>
      <c r="J491" s="16" t="n"/>
      <c r="K491" s="17">
        <f>IF(I491="","",MAX(0,I491-IF(J491="",0,J491)))</f>
        <v/>
      </c>
      <c r="L491" s="8" t="n"/>
    </row>
    <row r="492">
      <c r="A492" s="15" t="n"/>
      <c r="B492" s="8" t="n"/>
      <c r="C492" s="8" t="n"/>
      <c r="D492" s="8" t="n"/>
      <c r="E492" s="16" t="n"/>
      <c r="F492" s="16" t="n"/>
      <c r="G492" s="17">
        <f>IF(E492="","",E492+IF(F492="",0,F492))</f>
        <v/>
      </c>
      <c r="H492" s="8" t="n"/>
      <c r="I492" s="17">
        <f>IF(E492="","",IF(H492="Vendida",E492*Resumen!$B$3,0))</f>
        <v/>
      </c>
      <c r="J492" s="16" t="n"/>
      <c r="K492" s="17">
        <f>IF(I492="","",MAX(0,I492-IF(J492="",0,J492)))</f>
        <v/>
      </c>
      <c r="L492" s="8" t="n"/>
    </row>
    <row r="493">
      <c r="A493" s="15" t="n"/>
      <c r="B493" s="8" t="n"/>
      <c r="C493" s="8" t="n"/>
      <c r="D493" s="8" t="n"/>
      <c r="E493" s="16" t="n"/>
      <c r="F493" s="16" t="n"/>
      <c r="G493" s="17">
        <f>IF(E493="","",E493+IF(F493="",0,F493))</f>
        <v/>
      </c>
      <c r="H493" s="8" t="n"/>
      <c r="I493" s="17">
        <f>IF(E493="","",IF(H493="Vendida",E493*Resumen!$B$3,0))</f>
        <v/>
      </c>
      <c r="J493" s="16" t="n"/>
      <c r="K493" s="17">
        <f>IF(I493="","",MAX(0,I493-IF(J493="",0,J493)))</f>
        <v/>
      </c>
      <c r="L493" s="8" t="n"/>
    </row>
    <row r="494">
      <c r="A494" s="15" t="n"/>
      <c r="B494" s="8" t="n"/>
      <c r="C494" s="8" t="n"/>
      <c r="D494" s="8" t="n"/>
      <c r="E494" s="16" t="n"/>
      <c r="F494" s="16" t="n"/>
      <c r="G494" s="17">
        <f>IF(E494="","",E494+IF(F494="",0,F494))</f>
        <v/>
      </c>
      <c r="H494" s="8" t="n"/>
      <c r="I494" s="17">
        <f>IF(E494="","",IF(H494="Vendida",E494*Resumen!$B$3,0))</f>
        <v/>
      </c>
      <c r="J494" s="16" t="n"/>
      <c r="K494" s="17">
        <f>IF(I494="","",MAX(0,I494-IF(J494="",0,J494)))</f>
        <v/>
      </c>
      <c r="L494" s="8" t="n"/>
    </row>
    <row r="495">
      <c r="A495" s="15" t="n"/>
      <c r="B495" s="8" t="n"/>
      <c r="C495" s="8" t="n"/>
      <c r="D495" s="8" t="n"/>
      <c r="E495" s="16" t="n"/>
      <c r="F495" s="16" t="n"/>
      <c r="G495" s="17">
        <f>IF(E495="","",E495+IF(F495="",0,F495))</f>
        <v/>
      </c>
      <c r="H495" s="8" t="n"/>
      <c r="I495" s="17">
        <f>IF(E495="","",IF(H495="Vendida",E495*Resumen!$B$3,0))</f>
        <v/>
      </c>
      <c r="J495" s="16" t="n"/>
      <c r="K495" s="17">
        <f>IF(I495="","",MAX(0,I495-IF(J495="",0,J495)))</f>
        <v/>
      </c>
      <c r="L495" s="8" t="n"/>
    </row>
    <row r="496">
      <c r="A496" s="15" t="n"/>
      <c r="B496" s="8" t="n"/>
      <c r="C496" s="8" t="n"/>
      <c r="D496" s="8" t="n"/>
      <c r="E496" s="16" t="n"/>
      <c r="F496" s="16" t="n"/>
      <c r="G496" s="17">
        <f>IF(E496="","",E496+IF(F496="",0,F496))</f>
        <v/>
      </c>
      <c r="H496" s="8" t="n"/>
      <c r="I496" s="17">
        <f>IF(E496="","",IF(H496="Vendida",E496*Resumen!$B$3,0))</f>
        <v/>
      </c>
      <c r="J496" s="16" t="n"/>
      <c r="K496" s="17">
        <f>IF(I496="","",MAX(0,I496-IF(J496="",0,J496)))</f>
        <v/>
      </c>
      <c r="L496" s="8" t="n"/>
    </row>
    <row r="497">
      <c r="A497" s="15" t="n"/>
      <c r="B497" s="8" t="n"/>
      <c r="C497" s="8" t="n"/>
      <c r="D497" s="8" t="n"/>
      <c r="E497" s="16" t="n"/>
      <c r="F497" s="16" t="n"/>
      <c r="G497" s="17">
        <f>IF(E497="","",E497+IF(F497="",0,F497))</f>
        <v/>
      </c>
      <c r="H497" s="8" t="n"/>
      <c r="I497" s="17">
        <f>IF(E497="","",IF(H497="Vendida",E497*Resumen!$B$3,0))</f>
        <v/>
      </c>
      <c r="J497" s="16" t="n"/>
      <c r="K497" s="17">
        <f>IF(I497="","",MAX(0,I497-IF(J497="",0,J497)))</f>
        <v/>
      </c>
      <c r="L497" s="8" t="n"/>
    </row>
    <row r="498">
      <c r="A498" s="15" t="n"/>
      <c r="B498" s="8" t="n"/>
      <c r="C498" s="8" t="n"/>
      <c r="D498" s="8" t="n"/>
      <c r="E498" s="16" t="n"/>
      <c r="F498" s="16" t="n"/>
      <c r="G498" s="17">
        <f>IF(E498="","",E498+IF(F498="",0,F498))</f>
        <v/>
      </c>
      <c r="H498" s="8" t="n"/>
      <c r="I498" s="17">
        <f>IF(E498="","",IF(H498="Vendida",E498*Resumen!$B$3,0))</f>
        <v/>
      </c>
      <c r="J498" s="16" t="n"/>
      <c r="K498" s="17">
        <f>IF(I498="","",MAX(0,I498-IF(J498="",0,J498)))</f>
        <v/>
      </c>
      <c r="L498" s="8" t="n"/>
    </row>
    <row r="499">
      <c r="A499" s="15" t="n"/>
      <c r="B499" s="8" t="n"/>
      <c r="C499" s="8" t="n"/>
      <c r="D499" s="8" t="n"/>
      <c r="E499" s="16" t="n"/>
      <c r="F499" s="16" t="n"/>
      <c r="G499" s="17">
        <f>IF(E499="","",E499+IF(F499="",0,F499))</f>
        <v/>
      </c>
      <c r="H499" s="8" t="n"/>
      <c r="I499" s="17">
        <f>IF(E499="","",IF(H499="Vendida",E499*Resumen!$B$3,0))</f>
        <v/>
      </c>
      <c r="J499" s="16" t="n"/>
      <c r="K499" s="17">
        <f>IF(I499="","",MAX(0,I499-IF(J499="",0,J499)))</f>
        <v/>
      </c>
      <c r="L499" s="8" t="n"/>
    </row>
    <row r="500">
      <c r="A500" s="15" t="n"/>
      <c r="B500" s="8" t="n"/>
      <c r="C500" s="8" t="n"/>
      <c r="D500" s="8" t="n"/>
      <c r="E500" s="16" t="n"/>
      <c r="F500" s="16" t="n"/>
      <c r="G500" s="17">
        <f>IF(E500="","",E500+IF(F500="",0,F500))</f>
        <v/>
      </c>
      <c r="H500" s="8" t="n"/>
      <c r="I500" s="17">
        <f>IF(E500="","",IF(H500="Vendida",E500*Resumen!$B$3,0))</f>
        <v/>
      </c>
      <c r="J500" s="16" t="n"/>
      <c r="K500" s="17">
        <f>IF(I500="","",MAX(0,I500-IF(J500="",0,J500)))</f>
        <v/>
      </c>
      <c r="L500" s="8" t="n"/>
    </row>
    <row r="501">
      <c r="A501" s="15" t="n"/>
      <c r="B501" s="8" t="n"/>
      <c r="C501" s="8" t="n"/>
      <c r="D501" s="8" t="n"/>
      <c r="E501" s="16" t="n"/>
      <c r="F501" s="16" t="n"/>
      <c r="G501" s="17">
        <f>IF(E501="","",E501+IF(F501="",0,F501))</f>
        <v/>
      </c>
      <c r="H501" s="8" t="n"/>
      <c r="I501" s="17">
        <f>IF(E501="","",IF(H501="Vendida",E501*Resumen!$B$3,0))</f>
        <v/>
      </c>
      <c r="J501" s="16" t="n"/>
      <c r="K501" s="17">
        <f>IF(I501="","",MAX(0,I501-IF(J501="",0,J501)))</f>
        <v/>
      </c>
      <c r="L501" s="8" t="n"/>
    </row>
    <row r="502">
      <c r="A502" s="15" t="n"/>
      <c r="B502" s="8" t="n"/>
      <c r="C502" s="8" t="n"/>
      <c r="D502" s="8" t="n"/>
      <c r="E502" s="16" t="n"/>
      <c r="F502" s="16" t="n"/>
      <c r="G502" s="17">
        <f>IF(E502="","",E502+IF(F502="",0,F502))</f>
        <v/>
      </c>
      <c r="H502" s="8" t="n"/>
      <c r="I502" s="17">
        <f>IF(E502="","",IF(H502="Vendida",E502*Resumen!$B$3,0))</f>
        <v/>
      </c>
      <c r="J502" s="16" t="n"/>
      <c r="K502" s="17">
        <f>IF(I502="","",MAX(0,I502-IF(J502="",0,J502)))</f>
        <v/>
      </c>
      <c r="L502" s="8" t="n"/>
    </row>
    <row r="503">
      <c r="A503" s="15" t="n"/>
      <c r="B503" s="8" t="n"/>
      <c r="C503" s="8" t="n"/>
      <c r="D503" s="8" t="n"/>
      <c r="E503" s="16" t="n"/>
      <c r="F503" s="16" t="n"/>
      <c r="G503" s="17">
        <f>IF(E503="","",E503+IF(F503="",0,F503))</f>
        <v/>
      </c>
      <c r="H503" s="8" t="n"/>
      <c r="I503" s="17">
        <f>IF(E503="","",IF(H503="Vendida",E503*Resumen!$B$3,0))</f>
        <v/>
      </c>
      <c r="J503" s="16" t="n"/>
      <c r="K503" s="17">
        <f>IF(I503="","",MAX(0,I503-IF(J503="",0,J503)))</f>
        <v/>
      </c>
      <c r="L503" s="8" t="n"/>
    </row>
  </sheetData>
  <autoFilter ref="A3:L503"/>
  <mergeCells count="2">
    <mergeCell ref="A2:L2"/>
    <mergeCell ref="A1:L1"/>
  </mergeCells>
  <conditionalFormatting sqref="K4:K503">
    <cfRule type="cellIs" priority="1" operator="greaterThan" dxfId="0">
      <formula>0</formula>
    </cfRule>
  </conditionalFormatting>
  <dataValidations count="2">
    <dataValidation sqref="H4:H503" showDropDown="0" showInputMessage="0" showErrorMessage="0" allowBlank="1" type="list">
      <formula1>"Pendiente,Vendida,Cancelada,Devuelta"</formula1>
    </dataValidation>
    <dataValidation sqref="E4:E503 F4:F503 J4:J50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20" customWidth="1" min="3" max="3"/>
    <col width="20" customWidth="1" min="4" max="4"/>
    <col width="17" customWidth="1" min="5" max="5"/>
    <col width="49" customWidth="1" min="6" max="6"/>
  </cols>
  <sheetData>
    <row r="1" ht="34" customHeight="1">
      <c r="A1" s="1" t="inlineStr">
        <is>
          <t>Catálogo de productos · por completar</t>
        </is>
      </c>
    </row>
    <row r="2">
      <c r="A2" s="5" t="inlineStr">
        <is>
          <t>Cuando me compartas los precios, aquí quedarán nombre, variante, unidad y precio para revisar.</t>
        </is>
      </c>
    </row>
    <row r="3" ht="32" customHeight="1">
      <c r="A3" s="6" t="inlineStr">
        <is>
          <t>Producto</t>
        </is>
      </c>
      <c r="B3" s="6" t="inlineStr">
        <is>
          <t>Variante / código</t>
        </is>
      </c>
      <c r="C3" s="6" t="inlineStr">
        <is>
          <t>Unidad de cobro</t>
        </is>
      </c>
      <c r="D3" s="6" t="inlineStr">
        <is>
          <t>Precio de lista</t>
        </is>
      </c>
      <c r="E3" s="6" t="inlineStr">
        <is>
          <t>¿Incluye IVA?</t>
        </is>
      </c>
      <c r="F3" s="6" t="inlineStr">
        <is>
          <t>Notas / medidas</t>
        </is>
      </c>
    </row>
    <row r="4">
      <c r="A4" s="8" t="inlineStr">
        <is>
          <t>Borde ballena</t>
        </is>
      </c>
      <c r="B4" s="8" t="inlineStr">
        <is>
          <t>50 x 40 cm</t>
        </is>
      </c>
      <c r="C4" s="8" t="inlineStr">
        <is>
          <t>unidad</t>
        </is>
      </c>
      <c r="D4" s="16" t="n">
        <v>5500</v>
      </c>
      <c r="E4" s="8" t="inlineStr">
        <is>
          <t>Sí</t>
        </is>
      </c>
      <c r="F4" s="8" t="inlineStr">
        <is>
          <t>Precio final por unidad, con impuestos incluidos. No sumar IVA. Fuente: imagen 1.</t>
        </is>
      </c>
    </row>
    <row r="5">
      <c r="A5" s="8" t="inlineStr">
        <is>
          <t>Borde ballena nariz</t>
        </is>
      </c>
      <c r="B5" s="8" t="inlineStr">
        <is>
          <t>50 x 50 cm</t>
        </is>
      </c>
      <c r="C5" s="8" t="inlineStr">
        <is>
          <t>unidad</t>
        </is>
      </c>
      <c r="D5" s="16" t="n">
        <v>6000</v>
      </c>
      <c r="E5" s="8" t="inlineStr">
        <is>
          <t>Sí</t>
        </is>
      </c>
      <c r="F5" s="8" t="inlineStr">
        <is>
          <t>Precio final por unidad, con impuestos incluidos. No sumar IVA. Fuente: imagen 1.</t>
        </is>
      </c>
    </row>
    <row r="6">
      <c r="A6" s="8" t="inlineStr">
        <is>
          <t>Borde recto con nariz</t>
        </is>
      </c>
      <c r="B6" s="8" t="inlineStr">
        <is>
          <t>50 x 50 cm</t>
        </is>
      </c>
      <c r="C6" s="8" t="inlineStr">
        <is>
          <t>unidad</t>
        </is>
      </c>
      <c r="D6" s="16" t="n">
        <v>6000</v>
      </c>
      <c r="E6" s="8" t="inlineStr">
        <is>
          <t>Sí</t>
        </is>
      </c>
      <c r="F6" s="8" t="inlineStr">
        <is>
          <t>Precio final por unidad. Foto recibida: 50 x 50 cm, espesor 3 cm, interior/exterior, antideslizante, atérmico y alta resistencia. Colores según ficha.</t>
        </is>
      </c>
    </row>
    <row r="7">
      <c r="A7" s="8" t="inlineStr">
        <is>
          <t>Borde ballena curvo</t>
        </is>
      </c>
      <c r="B7" s="8" t="inlineStr">
        <is>
          <t>23 x 40 cm</t>
        </is>
      </c>
      <c r="C7" s="8" t="inlineStr">
        <is>
          <t>unidad</t>
        </is>
      </c>
      <c r="D7" s="16" t="n">
        <v>4000</v>
      </c>
      <c r="E7" s="8" t="inlineStr">
        <is>
          <t>Sí</t>
        </is>
      </c>
      <c r="F7" s="8" t="inlineStr">
        <is>
          <t>Precio final por unidad, con impuestos incluidos. No sumar IVA. Fuente: imagen 1.</t>
        </is>
      </c>
    </row>
    <row r="8">
      <c r="A8" s="8" t="inlineStr">
        <is>
          <t>Terraza</t>
        </is>
      </c>
      <c r="B8" s="8" t="inlineStr">
        <is>
          <t>50 x 50 cm</t>
        </is>
      </c>
      <c r="C8" s="8" t="inlineStr">
        <is>
          <t>unidad</t>
        </is>
      </c>
      <c r="D8" s="16" t="n">
        <v>3800</v>
      </c>
      <c r="E8" s="8" t="inlineStr">
        <is>
          <t>Sí</t>
        </is>
      </c>
      <c r="F8" s="8" t="inlineStr">
        <is>
          <t>Precio final por unidad, con impuestos incluidos. No sumar IVA. Fuente: imagen 1.</t>
        </is>
      </c>
    </row>
    <row r="9">
      <c r="A9" s="8" t="inlineStr">
        <is>
          <t>Pastelones</t>
        </is>
      </c>
      <c r="B9" s="8" t="inlineStr">
        <is>
          <t>50 x 50 cm</t>
        </is>
      </c>
      <c r="C9" s="8" t="inlineStr">
        <is>
          <t>unidad</t>
        </is>
      </c>
      <c r="D9" s="16" t="n">
        <v>2600</v>
      </c>
      <c r="E9" s="8" t="inlineStr">
        <is>
          <t>Sí</t>
        </is>
      </c>
      <c r="F9" s="8" t="inlineStr">
        <is>
          <t>Precio final por unidad, con impuestos incluidos. No sumar IVA. Fuente: imagen 1.</t>
        </is>
      </c>
    </row>
    <row r="10">
      <c r="A10" s="8" t="inlineStr">
        <is>
          <t>Pastelones</t>
        </is>
      </c>
      <c r="B10" s="8" t="inlineStr">
        <is>
          <t>50 x 40 cm</t>
        </is>
      </c>
      <c r="C10" s="8" t="inlineStr">
        <is>
          <t>unidad</t>
        </is>
      </c>
      <c r="D10" s="16" t="n">
        <v>1600</v>
      </c>
      <c r="E10" s="8" t="inlineStr">
        <is>
          <t>Sí</t>
        </is>
      </c>
      <c r="F10" s="8" t="inlineStr">
        <is>
          <t>Precio final por unidad, con impuestos incluidos. No sumar IVA. Fuente: imagen 1.</t>
        </is>
      </c>
    </row>
    <row r="11">
      <c r="A11" s="8" t="inlineStr">
        <is>
          <t>Ladrillo cruzado</t>
        </is>
      </c>
      <c r="B11" s="8" t="inlineStr">
        <is>
          <t>40 x 40 cm</t>
        </is>
      </c>
      <c r="C11" s="8" t="inlineStr">
        <is>
          <t>unidad</t>
        </is>
      </c>
      <c r="D11" s="16" t="n">
        <v>1600</v>
      </c>
      <c r="E11" s="8" t="inlineStr">
        <is>
          <t>Sí</t>
        </is>
      </c>
      <c r="F11" s="8" t="inlineStr">
        <is>
          <t>Pastelón 40x40; 2 cm; interior/exterior; alta resistencia. Precio según regla indicada por Diego.</t>
        </is>
      </c>
    </row>
    <row r="12">
      <c r="A12" s="8" t="inlineStr">
        <is>
          <t>Sol</t>
        </is>
      </c>
      <c r="B12" s="8" t="inlineStr">
        <is>
          <t>40 x 40 cm</t>
        </is>
      </c>
      <c r="C12" s="8" t="inlineStr">
        <is>
          <t>unidad</t>
        </is>
      </c>
      <c r="D12" s="16" t="n">
        <v>1600</v>
      </c>
      <c r="E12" s="8" t="inlineStr">
        <is>
          <t>Sí</t>
        </is>
      </c>
      <c r="F12" s="8" t="inlineStr">
        <is>
          <t>Pastelón 40x40; 2 cm; interior/exterior; alta resistencia. Foto recibida.</t>
        </is>
      </c>
    </row>
    <row r="13">
      <c r="A13" s="8" t="inlineStr">
        <is>
          <t>Adoquín</t>
        </is>
      </c>
      <c r="B13" s="8" t="inlineStr">
        <is>
          <t>40 x 40 cm</t>
        </is>
      </c>
      <c r="C13" s="8" t="inlineStr">
        <is>
          <t>unidad</t>
        </is>
      </c>
      <c r="D13" s="16" t="n">
        <v>1600</v>
      </c>
      <c r="E13" s="8" t="inlineStr">
        <is>
          <t>Sí</t>
        </is>
      </c>
      <c r="F13" s="8" t="inlineStr">
        <is>
          <t>Pastelón 40x40; 2 cm; interior/exterior; alta resistencia. Foto recibida.</t>
        </is>
      </c>
    </row>
    <row r="14">
      <c r="A14" s="8" t="inlineStr">
        <is>
          <t>Laja española</t>
        </is>
      </c>
      <c r="B14" s="8" t="inlineStr">
        <is>
          <t>40 x 40 cm</t>
        </is>
      </c>
      <c r="C14" s="8" t="inlineStr">
        <is>
          <t>unidad</t>
        </is>
      </c>
      <c r="D14" s="16" t="n">
        <v>1600</v>
      </c>
      <c r="E14" s="8" t="inlineStr">
        <is>
          <t>Sí</t>
        </is>
      </c>
      <c r="F14" s="8" t="inlineStr">
        <is>
          <t>Pastelón 40x40; 2 cm; interior/exterior; alta resistencia. Foto recibida.</t>
        </is>
      </c>
    </row>
    <row r="15">
      <c r="A15" s="8" t="inlineStr">
        <is>
          <t>Dormiente 1</t>
        </is>
      </c>
      <c r="B15" s="8" t="inlineStr">
        <is>
          <t>16 x 40 cm</t>
        </is>
      </c>
      <c r="C15" s="8" t="n"/>
      <c r="D15" s="16" t="n"/>
      <c r="E15" s="8" t="inlineStr">
        <is>
          <t>Por confirmar</t>
        </is>
      </c>
      <c r="F15" s="8" t="inlineStr">
        <is>
          <t>3 cm; interior/exterior; antideslizante, atérmico, alta resistencia. Precio pendiente.</t>
        </is>
      </c>
    </row>
    <row r="16">
      <c r="A16" s="8" t="inlineStr">
        <is>
          <t>Dormiente 2</t>
        </is>
      </c>
      <c r="B16" s="8" t="inlineStr">
        <is>
          <t>16 x 40 cm</t>
        </is>
      </c>
      <c r="C16" s="8" t="n"/>
      <c r="D16" s="16" t="n"/>
      <c r="E16" s="8" t="inlineStr">
        <is>
          <t>Por confirmar</t>
        </is>
      </c>
      <c r="F16" s="8" t="inlineStr">
        <is>
          <t>3 cm; interior/exterior; antideslizante, atérmico, alta resistencia. Precio pendiente.</t>
        </is>
      </c>
    </row>
    <row r="17">
      <c r="A17" s="8" t="inlineStr">
        <is>
          <t>Deck madera</t>
        </is>
      </c>
      <c r="B17" s="8" t="inlineStr">
        <is>
          <t>50 x 50 cm</t>
        </is>
      </c>
      <c r="C17" s="8" t="inlineStr">
        <is>
          <t>unidad</t>
        </is>
      </c>
      <c r="D17" s="16" t="n">
        <v>4000</v>
      </c>
      <c r="E17" s="8" t="inlineStr">
        <is>
          <t>Sí</t>
        </is>
      </c>
      <c r="F17" s="8" t="inlineStr">
        <is>
          <t>3 cm; interior/exterior; antideslizante, atérmico, alta resistencia. Precio corregido a $4.000 por unidad.</t>
        </is>
      </c>
    </row>
    <row r="18">
      <c r="A18" s="8" t="inlineStr">
        <is>
          <t>Sol rústico</t>
        </is>
      </c>
      <c r="B18" s="8" t="inlineStr">
        <is>
          <t>40 x 40 cm</t>
        </is>
      </c>
      <c r="C18" s="8" t="inlineStr">
        <is>
          <t>unidad</t>
        </is>
      </c>
      <c r="D18" s="16" t="n">
        <v>1600</v>
      </c>
      <c r="E18" s="8" t="inlineStr">
        <is>
          <t>Sí</t>
        </is>
      </c>
      <c r="F18" s="8" t="inlineStr">
        <is>
          <t>Pastelón 40x40, espesor 2 cm, interior/exterior y alta resistencia. Nombre inferido de la ficha parcialmente cubierta.</t>
        </is>
      </c>
    </row>
    <row r="19">
      <c r="A19" s="8" t="inlineStr">
        <is>
          <t>Flor de lis</t>
        </is>
      </c>
      <c r="B19" s="8" t="inlineStr">
        <is>
          <t>40 x 40 cm</t>
        </is>
      </c>
      <c r="C19" s="8" t="inlineStr">
        <is>
          <t>unidad</t>
        </is>
      </c>
      <c r="D19" s="16" t="n">
        <v>1600</v>
      </c>
      <c r="E19" s="8" t="inlineStr">
        <is>
          <t>Sí</t>
        </is>
      </c>
      <c r="F19" s="8" t="inlineStr">
        <is>
          <t>Pastelón 40x40, espesor 2 cm, interior/exterior y alta resistencia. Nombre inferido de la ficha parcialmente cubierta.</t>
        </is>
      </c>
    </row>
    <row r="20">
      <c r="A20" s="8" t="inlineStr">
        <is>
          <t>Esquina piscina</t>
        </is>
      </c>
      <c r="B20" s="8" t="inlineStr">
        <is>
          <t>50 x 50 cm</t>
        </is>
      </c>
      <c r="C20" s="8" t="n"/>
      <c r="D20" s="16" t="n"/>
      <c r="E20" s="8" t="inlineStr">
        <is>
          <t>Por confirmar</t>
        </is>
      </c>
      <c r="F20" s="8" t="inlineStr">
        <is>
          <t>Espesor 3 cm, interior/exterior, antideslizante, atérmico y alta resistencia. Precio pendiente.</t>
        </is>
      </c>
    </row>
    <row r="21">
      <c r="A21" s="8" t="inlineStr">
        <is>
          <t>Extensión borde piscina</t>
        </is>
      </c>
      <c r="B21" s="8" t="inlineStr">
        <is>
          <t>50 x 50 cm</t>
        </is>
      </c>
      <c r="C21" s="8" t="n"/>
      <c r="D21" s="16" t="n"/>
      <c r="E21" s="8" t="inlineStr">
        <is>
          <t>Por confirmar</t>
        </is>
      </c>
      <c r="F21" s="8" t="inlineStr">
        <is>
          <t>Espesor 3 cm, interior/exterior, antideslizante, atérmico y alta resistencia. Precio pendiente.</t>
        </is>
      </c>
    </row>
    <row r="22">
      <c r="A22" s="8" t="n"/>
      <c r="B22" s="8" t="n"/>
      <c r="C22" s="8" t="n"/>
      <c r="D22" s="16" t="n"/>
      <c r="E22" s="8" t="n"/>
      <c r="F22" s="8" t="n"/>
    </row>
    <row r="23">
      <c r="A23" s="8" t="n"/>
      <c r="B23" s="8" t="n"/>
      <c r="C23" s="8" t="n"/>
      <c r="D23" s="16" t="n"/>
      <c r="E23" s="8" t="n"/>
      <c r="F23" s="8" t="n"/>
    </row>
    <row r="24">
      <c r="A24" s="8" t="n"/>
      <c r="B24" s="8" t="n"/>
      <c r="C24" s="8" t="n"/>
      <c r="D24" s="16" t="n"/>
      <c r="E24" s="8" t="n"/>
      <c r="F24" s="8" t="n"/>
    </row>
    <row r="25">
      <c r="A25" s="8" t="n"/>
      <c r="B25" s="8" t="n"/>
      <c r="C25" s="8" t="n"/>
      <c r="D25" s="16" t="n"/>
      <c r="E25" s="8" t="n"/>
      <c r="F25" s="8" t="n"/>
    </row>
    <row r="26">
      <c r="A26" s="8" t="n"/>
      <c r="B26" s="8" t="n"/>
      <c r="C26" s="8" t="n"/>
      <c r="D26" s="16" t="n"/>
      <c r="E26" s="8" t="n"/>
      <c r="F26" s="8" t="n"/>
    </row>
    <row r="27">
      <c r="A27" s="8" t="n"/>
      <c r="B27" s="8" t="n"/>
      <c r="C27" s="8" t="n"/>
      <c r="D27" s="16" t="n"/>
      <c r="E27" s="8" t="n"/>
      <c r="F27" s="8" t="n"/>
    </row>
    <row r="28">
      <c r="A28" s="8" t="n"/>
      <c r="B28" s="8" t="n"/>
      <c r="C28" s="8" t="n"/>
      <c r="D28" s="16" t="n"/>
      <c r="E28" s="8" t="n"/>
      <c r="F28" s="8" t="n"/>
    </row>
    <row r="29">
      <c r="A29" s="8" t="n"/>
      <c r="B29" s="8" t="n"/>
      <c r="C29" s="8" t="n"/>
      <c r="D29" s="16" t="n"/>
      <c r="E29" s="8" t="n"/>
      <c r="F29" s="8" t="n"/>
    </row>
    <row r="30">
      <c r="A30" s="8" t="n"/>
      <c r="B30" s="8" t="n"/>
      <c r="C30" s="8" t="n"/>
      <c r="D30" s="16" t="n"/>
      <c r="E30" s="8" t="n"/>
      <c r="F30" s="8" t="n"/>
    </row>
    <row r="31">
      <c r="A31" s="8" t="n"/>
      <c r="B31" s="8" t="n"/>
      <c r="C31" s="8" t="n"/>
      <c r="D31" s="16" t="n"/>
      <c r="E31" s="8" t="n"/>
      <c r="F31" s="8" t="n"/>
    </row>
    <row r="32">
      <c r="A32" s="8" t="n"/>
      <c r="B32" s="8" t="n"/>
      <c r="C32" s="8" t="n"/>
      <c r="D32" s="16" t="n"/>
      <c r="E32" s="8" t="n"/>
      <c r="F32" s="8" t="n"/>
    </row>
    <row r="33">
      <c r="A33" s="8" t="n"/>
      <c r="B33" s="8" t="n"/>
      <c r="C33" s="8" t="n"/>
      <c r="D33" s="16" t="n"/>
      <c r="E33" s="8" t="n"/>
      <c r="F33" s="8" t="n"/>
    </row>
    <row r="34">
      <c r="A34" s="8" t="n"/>
      <c r="B34" s="8" t="n"/>
      <c r="C34" s="8" t="n"/>
      <c r="D34" s="16" t="n"/>
      <c r="E34" s="8" t="n"/>
      <c r="F34" s="8" t="n"/>
    </row>
    <row r="35">
      <c r="A35" s="8" t="n"/>
      <c r="B35" s="8" t="n"/>
      <c r="C35" s="8" t="n"/>
      <c r="D35" s="16" t="n"/>
      <c r="E35" s="8" t="n"/>
      <c r="F35" s="8" t="n"/>
    </row>
    <row r="36">
      <c r="A36" s="8" t="n"/>
      <c r="B36" s="8" t="n"/>
      <c r="C36" s="8" t="n"/>
      <c r="D36" s="16" t="n"/>
      <c r="E36" s="8" t="n"/>
      <c r="F36" s="8" t="n"/>
    </row>
    <row r="37">
      <c r="A37" s="8" t="n"/>
      <c r="B37" s="8" t="n"/>
      <c r="C37" s="8" t="n"/>
      <c r="D37" s="16" t="n"/>
      <c r="E37" s="8" t="n"/>
      <c r="F37" s="8" t="n"/>
    </row>
    <row r="38">
      <c r="A38" s="8" t="n"/>
      <c r="B38" s="8" t="n"/>
      <c r="C38" s="8" t="n"/>
      <c r="D38" s="16" t="n"/>
      <c r="E38" s="8" t="n"/>
      <c r="F38" s="8" t="n"/>
    </row>
    <row r="39">
      <c r="A39" s="8" t="n"/>
      <c r="B39" s="8" t="n"/>
      <c r="C39" s="8" t="n"/>
      <c r="D39" s="16" t="n"/>
      <c r="E39" s="8" t="n"/>
      <c r="F39" s="8" t="n"/>
    </row>
    <row r="40">
      <c r="A40" s="8" t="n"/>
      <c r="B40" s="8" t="n"/>
      <c r="C40" s="8" t="n"/>
      <c r="D40" s="16" t="n"/>
      <c r="E40" s="8" t="n"/>
      <c r="F40" s="8" t="n"/>
    </row>
    <row r="41">
      <c r="A41" s="8" t="n"/>
      <c r="B41" s="8" t="n"/>
      <c r="C41" s="8" t="n"/>
      <c r="D41" s="16" t="n"/>
      <c r="E41" s="8" t="n"/>
      <c r="F41" s="8" t="n"/>
    </row>
    <row r="42">
      <c r="A42" s="8" t="n"/>
      <c r="B42" s="8" t="n"/>
      <c r="C42" s="8" t="n"/>
      <c r="D42" s="16" t="n"/>
      <c r="E42" s="8" t="n"/>
      <c r="F42" s="8" t="n"/>
    </row>
    <row r="43">
      <c r="A43" s="8" t="n"/>
      <c r="B43" s="8" t="n"/>
      <c r="C43" s="8" t="n"/>
      <c r="D43" s="16" t="n"/>
      <c r="E43" s="8" t="n"/>
      <c r="F43" s="8" t="n"/>
    </row>
    <row r="44">
      <c r="A44" s="8" t="n"/>
      <c r="B44" s="8" t="n"/>
      <c r="C44" s="8" t="n"/>
      <c r="D44" s="16" t="n"/>
      <c r="E44" s="8" t="n"/>
      <c r="F44" s="8" t="n"/>
    </row>
    <row r="45">
      <c r="A45" s="8" t="n"/>
      <c r="B45" s="8" t="n"/>
      <c r="C45" s="8" t="n"/>
      <c r="D45" s="16" t="n"/>
      <c r="E45" s="8" t="n"/>
      <c r="F45" s="8" t="n"/>
    </row>
    <row r="46">
      <c r="A46" s="8" t="n"/>
      <c r="B46" s="8" t="n"/>
      <c r="C46" s="8" t="n"/>
      <c r="D46" s="16" t="n"/>
      <c r="E46" s="8" t="n"/>
      <c r="F46" s="8" t="n"/>
    </row>
    <row r="47">
      <c r="A47" s="8" t="n"/>
      <c r="B47" s="8" t="n"/>
      <c r="C47" s="8" t="n"/>
      <c r="D47" s="16" t="n"/>
      <c r="E47" s="8" t="n"/>
      <c r="F47" s="8" t="n"/>
    </row>
    <row r="48">
      <c r="A48" s="8" t="n"/>
      <c r="B48" s="8" t="n"/>
      <c r="C48" s="8" t="n"/>
      <c r="D48" s="16" t="n"/>
      <c r="E48" s="8" t="n"/>
      <c r="F48" s="8" t="n"/>
    </row>
    <row r="49">
      <c r="A49" s="8" t="n"/>
      <c r="B49" s="8" t="n"/>
      <c r="C49" s="8" t="n"/>
      <c r="D49" s="16" t="n"/>
      <c r="E49" s="8" t="n"/>
      <c r="F49" s="8" t="n"/>
    </row>
    <row r="50">
      <c r="A50" s="8" t="n"/>
      <c r="B50" s="8" t="n"/>
      <c r="C50" s="8" t="n"/>
      <c r="D50" s="16" t="n"/>
      <c r="E50" s="8" t="n"/>
      <c r="F50" s="8" t="n"/>
    </row>
    <row r="51">
      <c r="A51" s="8" t="n"/>
      <c r="B51" s="8" t="n"/>
      <c r="C51" s="8" t="n"/>
      <c r="D51" s="16" t="n"/>
      <c r="E51" s="8" t="n"/>
      <c r="F51" s="8" t="n"/>
    </row>
    <row r="52">
      <c r="A52" s="8" t="n"/>
      <c r="B52" s="8" t="n"/>
      <c r="C52" s="8" t="n"/>
      <c r="D52" s="16" t="n"/>
      <c r="E52" s="8" t="n"/>
      <c r="F52" s="8" t="n"/>
    </row>
    <row r="53">
      <c r="A53" s="8" t="n"/>
      <c r="B53" s="8" t="n"/>
      <c r="C53" s="8" t="n"/>
      <c r="D53" s="16" t="n"/>
      <c r="E53" s="8" t="n"/>
      <c r="F53" s="8" t="n"/>
    </row>
    <row r="54">
      <c r="A54" s="8" t="n"/>
      <c r="B54" s="8" t="n"/>
      <c r="C54" s="8" t="n"/>
      <c r="D54" s="16" t="n"/>
      <c r="E54" s="8" t="n"/>
      <c r="F54" s="8" t="n"/>
    </row>
    <row r="55">
      <c r="A55" s="8" t="n"/>
      <c r="B55" s="8" t="n"/>
      <c r="C55" s="8" t="n"/>
      <c r="D55" s="16" t="n"/>
      <c r="E55" s="8" t="n"/>
      <c r="F55" s="8" t="n"/>
    </row>
    <row r="56">
      <c r="A56" s="8" t="n"/>
      <c r="B56" s="8" t="n"/>
      <c r="C56" s="8" t="n"/>
      <c r="D56" s="16" t="n"/>
      <c r="E56" s="8" t="n"/>
      <c r="F56" s="8" t="n"/>
    </row>
    <row r="57">
      <c r="A57" s="8" t="n"/>
      <c r="B57" s="8" t="n"/>
      <c r="C57" s="8" t="n"/>
      <c r="D57" s="16" t="n"/>
      <c r="E57" s="8" t="n"/>
      <c r="F57" s="8" t="n"/>
    </row>
    <row r="58">
      <c r="A58" s="8" t="n"/>
      <c r="B58" s="8" t="n"/>
      <c r="C58" s="8" t="n"/>
      <c r="D58" s="16" t="n"/>
      <c r="E58" s="8" t="n"/>
      <c r="F58" s="8" t="n"/>
    </row>
    <row r="59">
      <c r="A59" s="8" t="n"/>
      <c r="B59" s="8" t="n"/>
      <c r="C59" s="8" t="n"/>
      <c r="D59" s="16" t="n"/>
      <c r="E59" s="8" t="n"/>
      <c r="F59" s="8" t="n"/>
    </row>
    <row r="60">
      <c r="A60" s="8" t="n"/>
      <c r="B60" s="8" t="n"/>
      <c r="C60" s="8" t="n"/>
      <c r="D60" s="16" t="n"/>
      <c r="E60" s="8" t="n"/>
      <c r="F60" s="8" t="n"/>
    </row>
    <row r="61">
      <c r="A61" s="8" t="n"/>
      <c r="B61" s="8" t="n"/>
      <c r="C61" s="8" t="n"/>
      <c r="D61" s="16" t="n"/>
      <c r="E61" s="8" t="n"/>
      <c r="F61" s="8" t="n"/>
    </row>
    <row r="62">
      <c r="A62" s="8" t="n"/>
      <c r="B62" s="8" t="n"/>
      <c r="C62" s="8" t="n"/>
      <c r="D62" s="16" t="n"/>
      <c r="E62" s="8" t="n"/>
      <c r="F62" s="8" t="n"/>
    </row>
    <row r="63">
      <c r="A63" s="8" t="n"/>
      <c r="B63" s="8" t="n"/>
      <c r="C63" s="8" t="n"/>
      <c r="D63" s="16" t="n"/>
      <c r="E63" s="8" t="n"/>
      <c r="F63" s="8" t="n"/>
    </row>
    <row r="64">
      <c r="A64" s="8" t="n"/>
      <c r="B64" s="8" t="n"/>
      <c r="C64" s="8" t="n"/>
      <c r="D64" s="16" t="n"/>
      <c r="E64" s="8" t="n"/>
      <c r="F64" s="8" t="n"/>
    </row>
    <row r="65">
      <c r="A65" s="8" t="n"/>
      <c r="B65" s="8" t="n"/>
      <c r="C65" s="8" t="n"/>
      <c r="D65" s="16" t="n"/>
      <c r="E65" s="8" t="n"/>
      <c r="F65" s="8" t="n"/>
    </row>
    <row r="66">
      <c r="A66" s="8" t="n"/>
      <c r="B66" s="8" t="n"/>
      <c r="C66" s="8" t="n"/>
      <c r="D66" s="16" t="n"/>
      <c r="E66" s="8" t="n"/>
      <c r="F66" s="8" t="n"/>
    </row>
    <row r="67">
      <c r="A67" s="8" t="n"/>
      <c r="B67" s="8" t="n"/>
      <c r="C67" s="8" t="n"/>
      <c r="D67" s="16" t="n"/>
      <c r="E67" s="8" t="n"/>
      <c r="F67" s="8" t="n"/>
    </row>
    <row r="68">
      <c r="A68" s="8" t="n"/>
      <c r="B68" s="8" t="n"/>
      <c r="C68" s="8" t="n"/>
      <c r="D68" s="16" t="n"/>
      <c r="E68" s="8" t="n"/>
      <c r="F68" s="8" t="n"/>
    </row>
    <row r="69">
      <c r="A69" s="8" t="n"/>
      <c r="B69" s="8" t="n"/>
      <c r="C69" s="8" t="n"/>
      <c r="D69" s="16" t="n"/>
      <c r="E69" s="8" t="n"/>
      <c r="F69" s="8" t="n"/>
    </row>
    <row r="70">
      <c r="A70" s="8" t="n"/>
      <c r="B70" s="8" t="n"/>
      <c r="C70" s="8" t="n"/>
      <c r="D70" s="16" t="n"/>
      <c r="E70" s="8" t="n"/>
      <c r="F70" s="8" t="n"/>
    </row>
    <row r="71">
      <c r="A71" s="8" t="n"/>
      <c r="B71" s="8" t="n"/>
      <c r="C71" s="8" t="n"/>
      <c r="D71" s="16" t="n"/>
      <c r="E71" s="8" t="n"/>
      <c r="F71" s="8" t="n"/>
    </row>
    <row r="72">
      <c r="A72" s="8" t="n"/>
      <c r="B72" s="8" t="n"/>
      <c r="C72" s="8" t="n"/>
      <c r="D72" s="16" t="n"/>
      <c r="E72" s="8" t="n"/>
      <c r="F72" s="8" t="n"/>
    </row>
    <row r="73">
      <c r="A73" s="8" t="n"/>
      <c r="B73" s="8" t="n"/>
      <c r="C73" s="8" t="n"/>
      <c r="D73" s="16" t="n"/>
      <c r="E73" s="8" t="n"/>
      <c r="F73" s="8" t="n"/>
    </row>
    <row r="74">
      <c r="A74" s="8" t="n"/>
      <c r="B74" s="8" t="n"/>
      <c r="C74" s="8" t="n"/>
      <c r="D74" s="16" t="n"/>
      <c r="E74" s="8" t="n"/>
      <c r="F74" s="8" t="n"/>
    </row>
    <row r="75">
      <c r="A75" s="8" t="n"/>
      <c r="B75" s="8" t="n"/>
      <c r="C75" s="8" t="n"/>
      <c r="D75" s="16" t="n"/>
      <c r="E75" s="8" t="n"/>
      <c r="F75" s="8" t="n"/>
    </row>
    <row r="76">
      <c r="A76" s="8" t="n"/>
      <c r="B76" s="8" t="n"/>
      <c r="C76" s="8" t="n"/>
      <c r="D76" s="16" t="n"/>
      <c r="E76" s="8" t="n"/>
      <c r="F76" s="8" t="n"/>
    </row>
    <row r="77">
      <c r="A77" s="8" t="n"/>
      <c r="B77" s="8" t="n"/>
      <c r="C77" s="8" t="n"/>
      <c r="D77" s="16" t="n"/>
      <c r="E77" s="8" t="n"/>
      <c r="F77" s="8" t="n"/>
    </row>
    <row r="78">
      <c r="A78" s="8" t="n"/>
      <c r="B78" s="8" t="n"/>
      <c r="C78" s="8" t="n"/>
      <c r="D78" s="16" t="n"/>
      <c r="E78" s="8" t="n"/>
      <c r="F78" s="8" t="n"/>
    </row>
    <row r="79">
      <c r="A79" s="8" t="n"/>
      <c r="B79" s="8" t="n"/>
      <c r="C79" s="8" t="n"/>
      <c r="D79" s="16" t="n"/>
      <c r="E79" s="8" t="n"/>
      <c r="F79" s="8" t="n"/>
    </row>
    <row r="80">
      <c r="A80" s="8" t="n"/>
      <c r="B80" s="8" t="n"/>
      <c r="C80" s="8" t="n"/>
      <c r="D80" s="16" t="n"/>
      <c r="E80" s="8" t="n"/>
      <c r="F80" s="8" t="n"/>
    </row>
    <row r="81">
      <c r="A81" s="8" t="n"/>
      <c r="B81" s="8" t="n"/>
      <c r="C81" s="8" t="n"/>
      <c r="D81" s="16" t="n"/>
      <c r="E81" s="8" t="n"/>
      <c r="F81" s="8" t="n"/>
    </row>
    <row r="82">
      <c r="A82" s="8" t="n"/>
      <c r="B82" s="8" t="n"/>
      <c r="C82" s="8" t="n"/>
      <c r="D82" s="16" t="n"/>
      <c r="E82" s="8" t="n"/>
      <c r="F82" s="8" t="n"/>
    </row>
    <row r="83">
      <c r="A83" s="8" t="n"/>
      <c r="B83" s="8" t="n"/>
      <c r="C83" s="8" t="n"/>
      <c r="D83" s="16" t="n"/>
      <c r="E83" s="8" t="n"/>
      <c r="F83" s="8" t="n"/>
    </row>
    <row r="84">
      <c r="A84" s="8" t="n"/>
      <c r="B84" s="8" t="n"/>
      <c r="C84" s="8" t="n"/>
      <c r="D84" s="16" t="n"/>
      <c r="E84" s="8" t="n"/>
      <c r="F84" s="8" t="n"/>
    </row>
    <row r="85">
      <c r="A85" s="8" t="n"/>
      <c r="B85" s="8" t="n"/>
      <c r="C85" s="8" t="n"/>
      <c r="D85" s="16" t="n"/>
      <c r="E85" s="8" t="n"/>
      <c r="F85" s="8" t="n"/>
    </row>
    <row r="86">
      <c r="A86" s="8" t="n"/>
      <c r="B86" s="8" t="n"/>
      <c r="C86" s="8" t="n"/>
      <c r="D86" s="16" t="n"/>
      <c r="E86" s="8" t="n"/>
      <c r="F86" s="8" t="n"/>
    </row>
    <row r="87">
      <c r="A87" s="8" t="n"/>
      <c r="B87" s="8" t="n"/>
      <c r="C87" s="8" t="n"/>
      <c r="D87" s="16" t="n"/>
      <c r="E87" s="8" t="n"/>
      <c r="F87" s="8" t="n"/>
    </row>
    <row r="88">
      <c r="A88" s="8" t="n"/>
      <c r="B88" s="8" t="n"/>
      <c r="C88" s="8" t="n"/>
      <c r="D88" s="16" t="n"/>
      <c r="E88" s="8" t="n"/>
      <c r="F88" s="8" t="n"/>
    </row>
    <row r="89">
      <c r="A89" s="8" t="n"/>
      <c r="B89" s="8" t="n"/>
      <c r="C89" s="8" t="n"/>
      <c r="D89" s="16" t="n"/>
      <c r="E89" s="8" t="n"/>
      <c r="F89" s="8" t="n"/>
    </row>
    <row r="90">
      <c r="A90" s="8" t="n"/>
      <c r="B90" s="8" t="n"/>
      <c r="C90" s="8" t="n"/>
      <c r="D90" s="16" t="n"/>
      <c r="E90" s="8" t="n"/>
      <c r="F90" s="8" t="n"/>
    </row>
    <row r="91">
      <c r="A91" s="8" t="n"/>
      <c r="B91" s="8" t="n"/>
      <c r="C91" s="8" t="n"/>
      <c r="D91" s="16" t="n"/>
      <c r="E91" s="8" t="n"/>
      <c r="F91" s="8" t="n"/>
    </row>
    <row r="92">
      <c r="A92" s="8" t="n"/>
      <c r="B92" s="8" t="n"/>
      <c r="C92" s="8" t="n"/>
      <c r="D92" s="16" t="n"/>
      <c r="E92" s="8" t="n"/>
      <c r="F92" s="8" t="n"/>
    </row>
    <row r="93">
      <c r="A93" s="8" t="n"/>
      <c r="B93" s="8" t="n"/>
      <c r="C93" s="8" t="n"/>
      <c r="D93" s="16" t="n"/>
      <c r="E93" s="8" t="n"/>
      <c r="F93" s="8" t="n"/>
    </row>
    <row r="94">
      <c r="A94" s="8" t="n"/>
      <c r="B94" s="8" t="n"/>
      <c r="C94" s="8" t="n"/>
      <c r="D94" s="16" t="n"/>
      <c r="E94" s="8" t="n"/>
      <c r="F94" s="8" t="n"/>
    </row>
    <row r="95">
      <c r="A95" s="8" t="n"/>
      <c r="B95" s="8" t="n"/>
      <c r="C95" s="8" t="n"/>
      <c r="D95" s="16" t="n"/>
      <c r="E95" s="8" t="n"/>
      <c r="F95" s="8" t="n"/>
    </row>
    <row r="96">
      <c r="A96" s="8" t="n"/>
      <c r="B96" s="8" t="n"/>
      <c r="C96" s="8" t="n"/>
      <c r="D96" s="16" t="n"/>
      <c r="E96" s="8" t="n"/>
      <c r="F96" s="8" t="n"/>
    </row>
    <row r="97">
      <c r="A97" s="8" t="n"/>
      <c r="B97" s="8" t="n"/>
      <c r="C97" s="8" t="n"/>
      <c r="D97" s="16" t="n"/>
      <c r="E97" s="8" t="n"/>
      <c r="F97" s="8" t="n"/>
    </row>
    <row r="98">
      <c r="A98" s="8" t="n"/>
      <c r="B98" s="8" t="n"/>
      <c r="C98" s="8" t="n"/>
      <c r="D98" s="16" t="n"/>
      <c r="E98" s="8" t="n"/>
      <c r="F98" s="8" t="n"/>
    </row>
    <row r="99">
      <c r="A99" s="8" t="n"/>
      <c r="B99" s="8" t="n"/>
      <c r="C99" s="8" t="n"/>
      <c r="D99" s="16" t="n"/>
      <c r="E99" s="8" t="n"/>
      <c r="F99" s="8" t="n"/>
    </row>
    <row r="100">
      <c r="A100" s="8" t="n"/>
      <c r="B100" s="8" t="n"/>
      <c r="C100" s="8" t="n"/>
      <c r="D100" s="16" t="n"/>
      <c r="E100" s="8" t="n"/>
      <c r="F100" s="8" t="n"/>
    </row>
    <row r="101">
      <c r="A101" s="8" t="n"/>
      <c r="B101" s="8" t="n"/>
      <c r="C101" s="8" t="n"/>
      <c r="D101" s="16" t="n"/>
      <c r="E101" s="8" t="n"/>
      <c r="F101" s="8" t="n"/>
    </row>
    <row r="102">
      <c r="A102" s="8" t="n"/>
      <c r="B102" s="8" t="n"/>
      <c r="C102" s="8" t="n"/>
      <c r="D102" s="16" t="n"/>
      <c r="E102" s="8" t="n"/>
      <c r="F102" s="8" t="n"/>
    </row>
    <row r="103">
      <c r="A103" s="8" t="n"/>
      <c r="B103" s="8" t="n"/>
      <c r="C103" s="8" t="n"/>
      <c r="D103" s="16" t="n"/>
      <c r="E103" s="8" t="n"/>
      <c r="F103" s="8" t="n"/>
    </row>
    <row r="104">
      <c r="A104" s="8" t="n"/>
      <c r="B104" s="8" t="n"/>
      <c r="C104" s="8" t="n"/>
      <c r="D104" s="16" t="n"/>
      <c r="E104" s="8" t="n"/>
      <c r="F104" s="8" t="n"/>
    </row>
    <row r="105">
      <c r="A105" s="8" t="n"/>
      <c r="B105" s="8" t="n"/>
      <c r="C105" s="8" t="n"/>
      <c r="D105" s="16" t="n"/>
      <c r="E105" s="8" t="n"/>
      <c r="F105" s="8" t="n"/>
    </row>
    <row r="106">
      <c r="A106" s="8" t="n"/>
      <c r="B106" s="8" t="n"/>
      <c r="C106" s="8" t="n"/>
      <c r="D106" s="16" t="n"/>
      <c r="E106" s="8" t="n"/>
      <c r="F106" s="8" t="n"/>
    </row>
    <row r="107">
      <c r="A107" s="8" t="n"/>
      <c r="B107" s="8" t="n"/>
      <c r="C107" s="8" t="n"/>
      <c r="D107" s="16" t="n"/>
      <c r="E107" s="8" t="n"/>
      <c r="F107" s="8" t="n"/>
    </row>
    <row r="108">
      <c r="A108" s="8" t="n"/>
      <c r="B108" s="8" t="n"/>
      <c r="C108" s="8" t="n"/>
      <c r="D108" s="16" t="n"/>
      <c r="E108" s="8" t="n"/>
      <c r="F108" s="8" t="n"/>
    </row>
    <row r="109">
      <c r="A109" s="8" t="n"/>
      <c r="B109" s="8" t="n"/>
      <c r="C109" s="8" t="n"/>
      <c r="D109" s="16" t="n"/>
      <c r="E109" s="8" t="n"/>
      <c r="F109" s="8" t="n"/>
    </row>
    <row r="110">
      <c r="A110" s="8" t="n"/>
      <c r="B110" s="8" t="n"/>
      <c r="C110" s="8" t="n"/>
      <c r="D110" s="16" t="n"/>
      <c r="E110" s="8" t="n"/>
      <c r="F110" s="8" t="n"/>
    </row>
    <row r="111">
      <c r="A111" s="8" t="n"/>
      <c r="B111" s="8" t="n"/>
      <c r="C111" s="8" t="n"/>
      <c r="D111" s="16" t="n"/>
      <c r="E111" s="8" t="n"/>
      <c r="F111" s="8" t="n"/>
    </row>
    <row r="112">
      <c r="A112" s="8" t="n"/>
      <c r="B112" s="8" t="n"/>
      <c r="C112" s="8" t="n"/>
      <c r="D112" s="16" t="n"/>
      <c r="E112" s="8" t="n"/>
      <c r="F112" s="8" t="n"/>
    </row>
    <row r="113">
      <c r="A113" s="8" t="n"/>
      <c r="B113" s="8" t="n"/>
      <c r="C113" s="8" t="n"/>
      <c r="D113" s="16" t="n"/>
      <c r="E113" s="8" t="n"/>
      <c r="F113" s="8" t="n"/>
    </row>
    <row r="114">
      <c r="A114" s="8" t="n"/>
      <c r="B114" s="8" t="n"/>
      <c r="C114" s="8" t="n"/>
      <c r="D114" s="16" t="n"/>
      <c r="E114" s="8" t="n"/>
      <c r="F114" s="8" t="n"/>
    </row>
    <row r="115">
      <c r="A115" s="8" t="n"/>
      <c r="B115" s="8" t="n"/>
      <c r="C115" s="8" t="n"/>
      <c r="D115" s="16" t="n"/>
      <c r="E115" s="8" t="n"/>
      <c r="F115" s="8" t="n"/>
    </row>
    <row r="116">
      <c r="A116" s="8" t="n"/>
      <c r="B116" s="8" t="n"/>
      <c r="C116" s="8" t="n"/>
      <c r="D116" s="16" t="n"/>
      <c r="E116" s="8" t="n"/>
      <c r="F116" s="8" t="n"/>
    </row>
    <row r="117">
      <c r="A117" s="8" t="n"/>
      <c r="B117" s="8" t="n"/>
      <c r="C117" s="8" t="n"/>
      <c r="D117" s="16" t="n"/>
      <c r="E117" s="8" t="n"/>
      <c r="F117" s="8" t="n"/>
    </row>
    <row r="118">
      <c r="A118" s="8" t="n"/>
      <c r="B118" s="8" t="n"/>
      <c r="C118" s="8" t="n"/>
      <c r="D118" s="16" t="n"/>
      <c r="E118" s="8" t="n"/>
      <c r="F118" s="8" t="n"/>
    </row>
    <row r="119">
      <c r="A119" s="8" t="n"/>
      <c r="B119" s="8" t="n"/>
      <c r="C119" s="8" t="n"/>
      <c r="D119" s="16" t="n"/>
      <c r="E119" s="8" t="n"/>
      <c r="F119" s="8" t="n"/>
    </row>
    <row r="120">
      <c r="A120" s="8" t="n"/>
      <c r="B120" s="8" t="n"/>
      <c r="C120" s="8" t="n"/>
      <c r="D120" s="16" t="n"/>
      <c r="E120" s="8" t="n"/>
      <c r="F120" s="8" t="n"/>
    </row>
    <row r="121">
      <c r="A121" s="8" t="n"/>
      <c r="B121" s="8" t="n"/>
      <c r="C121" s="8" t="n"/>
      <c r="D121" s="16" t="n"/>
      <c r="E121" s="8" t="n"/>
      <c r="F121" s="8" t="n"/>
    </row>
    <row r="122">
      <c r="A122" s="8" t="n"/>
      <c r="B122" s="8" t="n"/>
      <c r="C122" s="8" t="n"/>
      <c r="D122" s="16" t="n"/>
      <c r="E122" s="8" t="n"/>
      <c r="F122" s="8" t="n"/>
    </row>
    <row r="123">
      <c r="A123" s="8" t="n"/>
      <c r="B123" s="8" t="n"/>
      <c r="C123" s="8" t="n"/>
      <c r="D123" s="16" t="n"/>
      <c r="E123" s="8" t="n"/>
      <c r="F123" s="8" t="n"/>
    </row>
    <row r="124">
      <c r="A124" s="8" t="n"/>
      <c r="B124" s="8" t="n"/>
      <c r="C124" s="8" t="n"/>
      <c r="D124" s="16" t="n"/>
      <c r="E124" s="8" t="n"/>
      <c r="F124" s="8" t="n"/>
    </row>
    <row r="125">
      <c r="A125" s="8" t="n"/>
      <c r="B125" s="8" t="n"/>
      <c r="C125" s="8" t="n"/>
      <c r="D125" s="16" t="n"/>
      <c r="E125" s="8" t="n"/>
      <c r="F125" s="8" t="n"/>
    </row>
    <row r="126">
      <c r="A126" s="8" t="n"/>
      <c r="B126" s="8" t="n"/>
      <c r="C126" s="8" t="n"/>
      <c r="D126" s="16" t="n"/>
      <c r="E126" s="8" t="n"/>
      <c r="F126" s="8" t="n"/>
    </row>
    <row r="127">
      <c r="A127" s="8" t="n"/>
      <c r="B127" s="8" t="n"/>
      <c r="C127" s="8" t="n"/>
      <c r="D127" s="16" t="n"/>
      <c r="E127" s="8" t="n"/>
      <c r="F127" s="8" t="n"/>
    </row>
    <row r="128">
      <c r="A128" s="8" t="n"/>
      <c r="B128" s="8" t="n"/>
      <c r="C128" s="8" t="n"/>
      <c r="D128" s="16" t="n"/>
      <c r="E128" s="8" t="n"/>
      <c r="F128" s="8" t="n"/>
    </row>
    <row r="129">
      <c r="A129" s="8" t="n"/>
      <c r="B129" s="8" t="n"/>
      <c r="C129" s="8" t="n"/>
      <c r="D129" s="16" t="n"/>
      <c r="E129" s="8" t="n"/>
      <c r="F129" s="8" t="n"/>
    </row>
    <row r="130">
      <c r="A130" s="8" t="n"/>
      <c r="B130" s="8" t="n"/>
      <c r="C130" s="8" t="n"/>
      <c r="D130" s="16" t="n"/>
      <c r="E130" s="8" t="n"/>
      <c r="F130" s="8" t="n"/>
    </row>
    <row r="131">
      <c r="A131" s="8" t="n"/>
      <c r="B131" s="8" t="n"/>
      <c r="C131" s="8" t="n"/>
      <c r="D131" s="16" t="n"/>
      <c r="E131" s="8" t="n"/>
      <c r="F131" s="8" t="n"/>
    </row>
    <row r="132">
      <c r="A132" s="8" t="n"/>
      <c r="B132" s="8" t="n"/>
      <c r="C132" s="8" t="n"/>
      <c r="D132" s="16" t="n"/>
      <c r="E132" s="8" t="n"/>
      <c r="F132" s="8" t="n"/>
    </row>
    <row r="133">
      <c r="A133" s="8" t="n"/>
      <c r="B133" s="8" t="n"/>
      <c r="C133" s="8" t="n"/>
      <c r="D133" s="16" t="n"/>
      <c r="E133" s="8" t="n"/>
      <c r="F133" s="8" t="n"/>
    </row>
    <row r="134">
      <c r="A134" s="8" t="n"/>
      <c r="B134" s="8" t="n"/>
      <c r="C134" s="8" t="n"/>
      <c r="D134" s="16" t="n"/>
      <c r="E134" s="8" t="n"/>
      <c r="F134" s="8" t="n"/>
    </row>
    <row r="135">
      <c r="A135" s="8" t="n"/>
      <c r="B135" s="8" t="n"/>
      <c r="C135" s="8" t="n"/>
      <c r="D135" s="16" t="n"/>
      <c r="E135" s="8" t="n"/>
      <c r="F135" s="8" t="n"/>
    </row>
    <row r="136">
      <c r="A136" s="8" t="n"/>
      <c r="B136" s="8" t="n"/>
      <c r="C136" s="8" t="n"/>
      <c r="D136" s="16" t="n"/>
      <c r="E136" s="8" t="n"/>
      <c r="F136" s="8" t="n"/>
    </row>
    <row r="137">
      <c r="A137" s="8" t="n"/>
      <c r="B137" s="8" t="n"/>
      <c r="C137" s="8" t="n"/>
      <c r="D137" s="16" t="n"/>
      <c r="E137" s="8" t="n"/>
      <c r="F137" s="8" t="n"/>
    </row>
    <row r="138">
      <c r="A138" s="8" t="n"/>
      <c r="B138" s="8" t="n"/>
      <c r="C138" s="8" t="n"/>
      <c r="D138" s="16" t="n"/>
      <c r="E138" s="8" t="n"/>
      <c r="F138" s="8" t="n"/>
    </row>
    <row r="139">
      <c r="A139" s="8" t="n"/>
      <c r="B139" s="8" t="n"/>
      <c r="C139" s="8" t="n"/>
      <c r="D139" s="16" t="n"/>
      <c r="E139" s="8" t="n"/>
      <c r="F139" s="8" t="n"/>
    </row>
    <row r="140">
      <c r="A140" s="8" t="n"/>
      <c r="B140" s="8" t="n"/>
      <c r="C140" s="8" t="n"/>
      <c r="D140" s="16" t="n"/>
      <c r="E140" s="8" t="n"/>
      <c r="F140" s="8" t="n"/>
    </row>
    <row r="141">
      <c r="A141" s="8" t="n"/>
      <c r="B141" s="8" t="n"/>
      <c r="C141" s="8" t="n"/>
      <c r="D141" s="16" t="n"/>
      <c r="E141" s="8" t="n"/>
      <c r="F141" s="8" t="n"/>
    </row>
    <row r="142">
      <c r="A142" s="8" t="n"/>
      <c r="B142" s="8" t="n"/>
      <c r="C142" s="8" t="n"/>
      <c r="D142" s="16" t="n"/>
      <c r="E142" s="8" t="n"/>
      <c r="F142" s="8" t="n"/>
    </row>
    <row r="143">
      <c r="A143" s="8" t="n"/>
      <c r="B143" s="8" t="n"/>
      <c r="C143" s="8" t="n"/>
      <c r="D143" s="16" t="n"/>
      <c r="E143" s="8" t="n"/>
      <c r="F143" s="8" t="n"/>
    </row>
    <row r="144">
      <c r="A144" s="8" t="n"/>
      <c r="B144" s="8" t="n"/>
      <c r="C144" s="8" t="n"/>
      <c r="D144" s="16" t="n"/>
      <c r="E144" s="8" t="n"/>
      <c r="F144" s="8" t="n"/>
    </row>
    <row r="145">
      <c r="A145" s="8" t="n"/>
      <c r="B145" s="8" t="n"/>
      <c r="C145" s="8" t="n"/>
      <c r="D145" s="16" t="n"/>
      <c r="E145" s="8" t="n"/>
      <c r="F145" s="8" t="n"/>
    </row>
    <row r="146">
      <c r="A146" s="8" t="n"/>
      <c r="B146" s="8" t="n"/>
      <c r="C146" s="8" t="n"/>
      <c r="D146" s="16" t="n"/>
      <c r="E146" s="8" t="n"/>
      <c r="F146" s="8" t="n"/>
    </row>
    <row r="147">
      <c r="A147" s="8" t="n"/>
      <c r="B147" s="8" t="n"/>
      <c r="C147" s="8" t="n"/>
      <c r="D147" s="16" t="n"/>
      <c r="E147" s="8" t="n"/>
      <c r="F147" s="8" t="n"/>
    </row>
    <row r="148">
      <c r="A148" s="8" t="n"/>
      <c r="B148" s="8" t="n"/>
      <c r="C148" s="8" t="n"/>
      <c r="D148" s="16" t="n"/>
      <c r="E148" s="8" t="n"/>
      <c r="F148" s="8" t="n"/>
    </row>
    <row r="149">
      <c r="A149" s="8" t="n"/>
      <c r="B149" s="8" t="n"/>
      <c r="C149" s="8" t="n"/>
      <c r="D149" s="16" t="n"/>
      <c r="E149" s="8" t="n"/>
      <c r="F149" s="8" t="n"/>
    </row>
    <row r="150">
      <c r="A150" s="8" t="n"/>
      <c r="B150" s="8" t="n"/>
      <c r="C150" s="8" t="n"/>
      <c r="D150" s="16" t="n"/>
      <c r="E150" s="8" t="n"/>
      <c r="F150" s="8" t="n"/>
    </row>
    <row r="151">
      <c r="A151" s="8" t="n"/>
      <c r="B151" s="8" t="n"/>
      <c r="C151" s="8" t="n"/>
      <c r="D151" s="16" t="n"/>
      <c r="E151" s="8" t="n"/>
      <c r="F151" s="8" t="n"/>
    </row>
    <row r="152">
      <c r="A152" s="8" t="n"/>
      <c r="B152" s="8" t="n"/>
      <c r="C152" s="8" t="n"/>
      <c r="D152" s="16" t="n"/>
      <c r="E152" s="8" t="n"/>
      <c r="F152" s="8" t="n"/>
    </row>
    <row r="153">
      <c r="A153" s="8" t="n"/>
      <c r="B153" s="8" t="n"/>
      <c r="C153" s="8" t="n"/>
      <c r="D153" s="16" t="n"/>
      <c r="E153" s="8" t="n"/>
      <c r="F153" s="8" t="n"/>
    </row>
    <row r="154">
      <c r="A154" s="8" t="n"/>
      <c r="B154" s="8" t="n"/>
      <c r="C154" s="8" t="n"/>
      <c r="D154" s="16" t="n"/>
      <c r="E154" s="8" t="n"/>
      <c r="F154" s="8" t="n"/>
    </row>
    <row r="155">
      <c r="A155" s="8" t="n"/>
      <c r="B155" s="8" t="n"/>
      <c r="C155" s="8" t="n"/>
      <c r="D155" s="16" t="n"/>
      <c r="E155" s="8" t="n"/>
      <c r="F155" s="8" t="n"/>
    </row>
    <row r="156">
      <c r="A156" s="8" t="n"/>
      <c r="B156" s="8" t="n"/>
      <c r="C156" s="8" t="n"/>
      <c r="D156" s="16" t="n"/>
      <c r="E156" s="8" t="n"/>
      <c r="F156" s="8" t="n"/>
    </row>
    <row r="157">
      <c r="A157" s="8" t="n"/>
      <c r="B157" s="8" t="n"/>
      <c r="C157" s="8" t="n"/>
      <c r="D157" s="16" t="n"/>
      <c r="E157" s="8" t="n"/>
      <c r="F157" s="8" t="n"/>
    </row>
    <row r="158">
      <c r="A158" s="8" t="n"/>
      <c r="B158" s="8" t="n"/>
      <c r="C158" s="8" t="n"/>
      <c r="D158" s="16" t="n"/>
      <c r="E158" s="8" t="n"/>
      <c r="F158" s="8" t="n"/>
    </row>
    <row r="159">
      <c r="A159" s="8" t="n"/>
      <c r="B159" s="8" t="n"/>
      <c r="C159" s="8" t="n"/>
      <c r="D159" s="16" t="n"/>
      <c r="E159" s="8" t="n"/>
      <c r="F159" s="8" t="n"/>
    </row>
    <row r="160">
      <c r="A160" s="8" t="n"/>
      <c r="B160" s="8" t="n"/>
      <c r="C160" s="8" t="n"/>
      <c r="D160" s="16" t="n"/>
      <c r="E160" s="8" t="n"/>
      <c r="F160" s="8" t="n"/>
    </row>
    <row r="161">
      <c r="A161" s="8" t="n"/>
      <c r="B161" s="8" t="n"/>
      <c r="C161" s="8" t="n"/>
      <c r="D161" s="16" t="n"/>
      <c r="E161" s="8" t="n"/>
      <c r="F161" s="8" t="n"/>
    </row>
    <row r="162">
      <c r="A162" s="8" t="n"/>
      <c r="B162" s="8" t="n"/>
      <c r="C162" s="8" t="n"/>
      <c r="D162" s="16" t="n"/>
      <c r="E162" s="8" t="n"/>
      <c r="F162" s="8" t="n"/>
    </row>
    <row r="163">
      <c r="A163" s="8" t="n"/>
      <c r="B163" s="8" t="n"/>
      <c r="C163" s="8" t="n"/>
      <c r="D163" s="16" t="n"/>
      <c r="E163" s="8" t="n"/>
      <c r="F163" s="8" t="n"/>
    </row>
    <row r="164">
      <c r="A164" s="8" t="n"/>
      <c r="B164" s="8" t="n"/>
      <c r="C164" s="8" t="n"/>
      <c r="D164" s="16" t="n"/>
      <c r="E164" s="8" t="n"/>
      <c r="F164" s="8" t="n"/>
    </row>
    <row r="165">
      <c r="A165" s="8" t="n"/>
      <c r="B165" s="8" t="n"/>
      <c r="C165" s="8" t="n"/>
      <c r="D165" s="16" t="n"/>
      <c r="E165" s="8" t="n"/>
      <c r="F165" s="8" t="n"/>
    </row>
    <row r="166">
      <c r="A166" s="8" t="n"/>
      <c r="B166" s="8" t="n"/>
      <c r="C166" s="8" t="n"/>
      <c r="D166" s="16" t="n"/>
      <c r="E166" s="8" t="n"/>
      <c r="F166" s="8" t="n"/>
    </row>
    <row r="167">
      <c r="A167" s="8" t="n"/>
      <c r="B167" s="8" t="n"/>
      <c r="C167" s="8" t="n"/>
      <c r="D167" s="16" t="n"/>
      <c r="E167" s="8" t="n"/>
      <c r="F167" s="8" t="n"/>
    </row>
    <row r="168">
      <c r="A168" s="8" t="n"/>
      <c r="B168" s="8" t="n"/>
      <c r="C168" s="8" t="n"/>
      <c r="D168" s="16" t="n"/>
      <c r="E168" s="8" t="n"/>
      <c r="F168" s="8" t="n"/>
    </row>
    <row r="169">
      <c r="A169" s="8" t="n"/>
      <c r="B169" s="8" t="n"/>
      <c r="C169" s="8" t="n"/>
      <c r="D169" s="16" t="n"/>
      <c r="E169" s="8" t="n"/>
      <c r="F169" s="8" t="n"/>
    </row>
    <row r="170">
      <c r="A170" s="8" t="n"/>
      <c r="B170" s="8" t="n"/>
      <c r="C170" s="8" t="n"/>
      <c r="D170" s="16" t="n"/>
      <c r="E170" s="8" t="n"/>
      <c r="F170" s="8" t="n"/>
    </row>
    <row r="171">
      <c r="A171" s="8" t="n"/>
      <c r="B171" s="8" t="n"/>
      <c r="C171" s="8" t="n"/>
      <c r="D171" s="16" t="n"/>
      <c r="E171" s="8" t="n"/>
      <c r="F171" s="8" t="n"/>
    </row>
    <row r="172">
      <c r="A172" s="8" t="n"/>
      <c r="B172" s="8" t="n"/>
      <c r="C172" s="8" t="n"/>
      <c r="D172" s="16" t="n"/>
      <c r="E172" s="8" t="n"/>
      <c r="F172" s="8" t="n"/>
    </row>
    <row r="173">
      <c r="A173" s="8" t="n"/>
      <c r="B173" s="8" t="n"/>
      <c r="C173" s="8" t="n"/>
      <c r="D173" s="16" t="n"/>
      <c r="E173" s="8" t="n"/>
      <c r="F173" s="8" t="n"/>
    </row>
    <row r="174">
      <c r="A174" s="8" t="n"/>
      <c r="B174" s="8" t="n"/>
      <c r="C174" s="8" t="n"/>
      <c r="D174" s="16" t="n"/>
      <c r="E174" s="8" t="n"/>
      <c r="F174" s="8" t="n"/>
    </row>
    <row r="175">
      <c r="A175" s="8" t="n"/>
      <c r="B175" s="8" t="n"/>
      <c r="C175" s="8" t="n"/>
      <c r="D175" s="16" t="n"/>
      <c r="E175" s="8" t="n"/>
      <c r="F175" s="8" t="n"/>
    </row>
    <row r="176">
      <c r="A176" s="8" t="n"/>
      <c r="B176" s="8" t="n"/>
      <c r="C176" s="8" t="n"/>
      <c r="D176" s="16" t="n"/>
      <c r="E176" s="8" t="n"/>
      <c r="F176" s="8" t="n"/>
    </row>
    <row r="177">
      <c r="A177" s="8" t="n"/>
      <c r="B177" s="8" t="n"/>
      <c r="C177" s="8" t="n"/>
      <c r="D177" s="16" t="n"/>
      <c r="E177" s="8" t="n"/>
      <c r="F177" s="8" t="n"/>
    </row>
    <row r="178">
      <c r="A178" s="8" t="n"/>
      <c r="B178" s="8" t="n"/>
      <c r="C178" s="8" t="n"/>
      <c r="D178" s="16" t="n"/>
      <c r="E178" s="8" t="n"/>
      <c r="F178" s="8" t="n"/>
    </row>
    <row r="179">
      <c r="A179" s="8" t="n"/>
      <c r="B179" s="8" t="n"/>
      <c r="C179" s="8" t="n"/>
      <c r="D179" s="16" t="n"/>
      <c r="E179" s="8" t="n"/>
      <c r="F179" s="8" t="n"/>
    </row>
    <row r="180">
      <c r="A180" s="8" t="n"/>
      <c r="B180" s="8" t="n"/>
      <c r="C180" s="8" t="n"/>
      <c r="D180" s="16" t="n"/>
      <c r="E180" s="8" t="n"/>
      <c r="F180" s="8" t="n"/>
    </row>
    <row r="181">
      <c r="A181" s="8" t="n"/>
      <c r="B181" s="8" t="n"/>
      <c r="C181" s="8" t="n"/>
      <c r="D181" s="16" t="n"/>
      <c r="E181" s="8" t="n"/>
      <c r="F181" s="8" t="n"/>
    </row>
    <row r="182">
      <c r="A182" s="8" t="n"/>
      <c r="B182" s="8" t="n"/>
      <c r="C182" s="8" t="n"/>
      <c r="D182" s="16" t="n"/>
      <c r="E182" s="8" t="n"/>
      <c r="F182" s="8" t="n"/>
    </row>
    <row r="183">
      <c r="A183" s="8" t="n"/>
      <c r="B183" s="8" t="n"/>
      <c r="C183" s="8" t="n"/>
      <c r="D183" s="16" t="n"/>
      <c r="E183" s="8" t="n"/>
      <c r="F183" s="8" t="n"/>
    </row>
    <row r="184">
      <c r="A184" s="8" t="n"/>
      <c r="B184" s="8" t="n"/>
      <c r="C184" s="8" t="n"/>
      <c r="D184" s="16" t="n"/>
      <c r="E184" s="8" t="n"/>
      <c r="F184" s="8" t="n"/>
    </row>
    <row r="185">
      <c r="A185" s="8" t="n"/>
      <c r="B185" s="8" t="n"/>
      <c r="C185" s="8" t="n"/>
      <c r="D185" s="16" t="n"/>
      <c r="E185" s="8" t="n"/>
      <c r="F185" s="8" t="n"/>
    </row>
    <row r="186">
      <c r="A186" s="8" t="n"/>
      <c r="B186" s="8" t="n"/>
      <c r="C186" s="8" t="n"/>
      <c r="D186" s="16" t="n"/>
      <c r="E186" s="8" t="n"/>
      <c r="F186" s="8" t="n"/>
    </row>
    <row r="187">
      <c r="A187" s="8" t="n"/>
      <c r="B187" s="8" t="n"/>
      <c r="C187" s="8" t="n"/>
      <c r="D187" s="16" t="n"/>
      <c r="E187" s="8" t="n"/>
      <c r="F187" s="8" t="n"/>
    </row>
    <row r="188">
      <c r="A188" s="8" t="n"/>
      <c r="B188" s="8" t="n"/>
      <c r="C188" s="8" t="n"/>
      <c r="D188" s="16" t="n"/>
      <c r="E188" s="8" t="n"/>
      <c r="F188" s="8" t="n"/>
    </row>
    <row r="189">
      <c r="A189" s="8" t="n"/>
      <c r="B189" s="8" t="n"/>
      <c r="C189" s="8" t="n"/>
      <c r="D189" s="16" t="n"/>
      <c r="E189" s="8" t="n"/>
      <c r="F189" s="8" t="n"/>
    </row>
    <row r="190">
      <c r="A190" s="8" t="n"/>
      <c r="B190" s="8" t="n"/>
      <c r="C190" s="8" t="n"/>
      <c r="D190" s="16" t="n"/>
      <c r="E190" s="8" t="n"/>
      <c r="F190" s="8" t="n"/>
    </row>
    <row r="191">
      <c r="A191" s="8" t="n"/>
      <c r="B191" s="8" t="n"/>
      <c r="C191" s="8" t="n"/>
      <c r="D191" s="16" t="n"/>
      <c r="E191" s="8" t="n"/>
      <c r="F191" s="8" t="n"/>
    </row>
    <row r="192">
      <c r="A192" s="8" t="n"/>
      <c r="B192" s="8" t="n"/>
      <c r="C192" s="8" t="n"/>
      <c r="D192" s="16" t="n"/>
      <c r="E192" s="8" t="n"/>
      <c r="F192" s="8" t="n"/>
    </row>
    <row r="193">
      <c r="A193" s="8" t="n"/>
      <c r="B193" s="8" t="n"/>
      <c r="C193" s="8" t="n"/>
      <c r="D193" s="16" t="n"/>
      <c r="E193" s="8" t="n"/>
      <c r="F193" s="8" t="n"/>
    </row>
    <row r="194">
      <c r="A194" s="8" t="n"/>
      <c r="B194" s="8" t="n"/>
      <c r="C194" s="8" t="n"/>
      <c r="D194" s="16" t="n"/>
      <c r="E194" s="8" t="n"/>
      <c r="F194" s="8" t="n"/>
    </row>
    <row r="195">
      <c r="A195" s="8" t="n"/>
      <c r="B195" s="8" t="n"/>
      <c r="C195" s="8" t="n"/>
      <c r="D195" s="16" t="n"/>
      <c r="E195" s="8" t="n"/>
      <c r="F195" s="8" t="n"/>
    </row>
    <row r="196">
      <c r="A196" s="8" t="n"/>
      <c r="B196" s="8" t="n"/>
      <c r="C196" s="8" t="n"/>
      <c r="D196" s="16" t="n"/>
      <c r="E196" s="8" t="n"/>
      <c r="F196" s="8" t="n"/>
    </row>
    <row r="197">
      <c r="A197" s="8" t="n"/>
      <c r="B197" s="8" t="n"/>
      <c r="C197" s="8" t="n"/>
      <c r="D197" s="16" t="n"/>
      <c r="E197" s="8" t="n"/>
      <c r="F197" s="8" t="n"/>
    </row>
    <row r="198">
      <c r="A198" s="8" t="n"/>
      <c r="B198" s="8" t="n"/>
      <c r="C198" s="8" t="n"/>
      <c r="D198" s="16" t="n"/>
      <c r="E198" s="8" t="n"/>
      <c r="F198" s="8" t="n"/>
    </row>
    <row r="199">
      <c r="A199" s="8" t="n"/>
      <c r="B199" s="8" t="n"/>
      <c r="C199" s="8" t="n"/>
      <c r="D199" s="16" t="n"/>
      <c r="E199" s="8" t="n"/>
      <c r="F199" s="8" t="n"/>
    </row>
    <row r="200">
      <c r="A200" s="8" t="n"/>
      <c r="B200" s="8" t="n"/>
      <c r="C200" s="8" t="n"/>
      <c r="D200" s="16" t="n"/>
      <c r="E200" s="8" t="n"/>
      <c r="F200" s="8" t="n"/>
    </row>
    <row r="201">
      <c r="A201" s="8" t="n"/>
      <c r="B201" s="8" t="n"/>
      <c r="C201" s="8" t="n"/>
      <c r="D201" s="16" t="n"/>
      <c r="E201" s="8" t="n"/>
      <c r="F201" s="8" t="n"/>
    </row>
    <row r="202">
      <c r="A202" s="8" t="n"/>
      <c r="B202" s="8" t="n"/>
      <c r="C202" s="8" t="n"/>
      <c r="D202" s="16" t="n"/>
      <c r="E202" s="8" t="n"/>
      <c r="F202" s="8" t="n"/>
    </row>
    <row r="203">
      <c r="A203" s="8" t="n"/>
      <c r="B203" s="8" t="n"/>
      <c r="C203" s="8" t="n"/>
      <c r="D203" s="16" t="n"/>
      <c r="E203" s="8" t="n"/>
      <c r="F203" s="8" t="n"/>
    </row>
  </sheetData>
  <autoFilter ref="A3:F203"/>
  <mergeCells count="2">
    <mergeCell ref="A2:F2"/>
    <mergeCell ref="A1:F1"/>
  </mergeCells>
  <dataValidations count="1">
    <dataValidation sqref="E4:E203" showDropDown="0" showInputMessage="0" showErrorMessage="0" allowBlank="1" type="list">
      <formula1>"Sí,No,Por confirmar"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20" customWidth="1" min="3" max="3"/>
  </cols>
  <sheetData>
    <row r="1" ht="34" customHeight="1">
      <c r="A1" s="1" t="inlineStr">
        <is>
          <t>Resumen de ventas y comisiones</t>
        </is>
      </c>
    </row>
    <row r="3">
      <c r="A3" t="inlineStr">
        <is>
          <t>Tasa de comisión</t>
        </is>
      </c>
      <c r="B3" s="11" t="n">
        <v>0.1</v>
      </c>
    </row>
    <row r="5">
      <c r="A5" s="12" t="inlineStr">
        <is>
          <t>Ventas cerradas</t>
        </is>
      </c>
      <c r="B5">
        <f>COUNTIF(Ventas!H4:H503,"Vendida")</f>
        <v/>
      </c>
    </row>
    <row r="6">
      <c r="A6" s="12" t="inlineStr">
        <is>
          <t>Productos vendidos (sin envío)</t>
        </is>
      </c>
      <c r="B6" s="18">
        <f>SUMIF(Ventas!H4:H503,"Vendida",Ventas!E4:E503)</f>
        <v/>
      </c>
    </row>
    <row r="7">
      <c r="A7" s="12" t="inlineStr">
        <is>
          <t>Envío cobrado</t>
        </is>
      </c>
      <c r="B7" s="18">
        <f>SUMIF(Ventas!H4:H503,"Vendida",Ventas!F4:F503)</f>
        <v/>
      </c>
    </row>
    <row r="8">
      <c r="A8" s="12" t="inlineStr">
        <is>
          <t>Total cobrado al cliente</t>
        </is>
      </c>
      <c r="B8" s="18">
        <f>SUMIF(Ventas!H4:H503,"Vendida",Ventas!G4:G503)</f>
        <v/>
      </c>
    </row>
    <row r="9">
      <c r="A9" s="12" t="inlineStr">
        <is>
          <t>Comisión generada</t>
        </is>
      </c>
      <c r="B9" s="18">
        <f>SUM(Ventas!I4:I503)</f>
        <v/>
      </c>
    </row>
    <row r="10">
      <c r="A10" s="12" t="inlineStr">
        <is>
          <t>Comisión pagada</t>
        </is>
      </c>
      <c r="B10" s="18">
        <f>SUM(Ventas!J4:J503)</f>
        <v/>
      </c>
    </row>
    <row r="11">
      <c r="A11" s="12" t="inlineStr">
        <is>
          <t>Comisión pendiente</t>
        </is>
      </c>
      <c r="B11" s="18">
        <f>SUM(Ventas!K4:K503)</f>
        <v/>
      </c>
    </row>
    <row r="13">
      <c r="A13" s="14" t="inlineStr">
        <is>
          <t>Base de comisión: solo productos cobrados, sin envío.</t>
        </is>
      </c>
    </row>
  </sheetData>
  <mergeCells count="2">
    <mergeCell ref="A1:C1"/>
    <mergeCell ref="A13:C13"/>
  </mergeCells>
  <dataValidations count="1">
    <dataValidation sqref="B3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t="inlineStr">
        <is>
          <t>Datos visibles en las imágenes recibidas</t>
        </is>
      </c>
    </row>
    <row r="3">
      <c r="A3" s="19" t="inlineStr">
        <is>
          <t>Imagen 1: tabla de 7 productos con precio por unidad.</t>
        </is>
      </c>
    </row>
    <row r="4">
      <c r="A4" s="19" t="inlineStr">
        <is>
          <t>Imagen 2: tonos amarillado, blanco, rojo, crema, beige, gris y amarillo. Falta confirmar a qué productos aplican.</t>
        </is>
      </c>
    </row>
    <row r="5">
      <c r="A5" s="19" t="inlineStr">
        <is>
          <t>Imágenes 3 y 4: Ladrillo cruzado 40 x 40 cm, espesor 2 cm. Se aplica la regla de pastelones 40x40 a $1.600 c/u.</t>
        </is>
      </c>
    </row>
    <row r="7">
      <c r="A7" s="19" t="inlineStr">
        <is>
          <t>Los siete precios de la imagen 1 son finales, con todo incluido. El envío se registra por separado y no integra la comisión.</t>
        </is>
      </c>
    </row>
    <row r="8">
      <c r="A8" t="inlineStr">
        <is>
          <t>Foto posterior: Borde recto con nariz 50 x 50 cm; asociado al precio de $6.000 por unidad de la imagen 1.</t>
        </is>
      </c>
    </row>
    <row r="9">
      <c r="A9" t="inlineStr">
        <is>
          <t>Fotos nuevas: Sol, Adoquín y Laja española 40x40 a $1.600 c/u; Dormiente 1 y 2 sin precio; Deck madera 50x50 a $4.000 c/u.</t>
        </is>
      </c>
    </row>
    <row r="10">
      <c r="A10" t="inlineStr">
        <is>
          <t>Cinco fotos adicionales: Ladrillo cruzado duplicado y más claro; Sol rústico y Flor de lis 40x40 a $1.600 c/u; Esquina piscina y Extensión borde piscina 50x50 sin precio.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2026-09-30T02:30:01Z</dcterms:created>
  <dcterms:modified xsi:type="dcterms:W3CDTF">2026-09-30T02:49:32Z</dcterms:modified>
</cp:coreProperties>
</file>